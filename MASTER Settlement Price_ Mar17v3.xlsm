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ettlement macro\"/>
    </mc:Choice>
  </mc:AlternateContent>
  <bookViews>
    <workbookView xWindow="2385" yWindow="645" windowWidth="18195" windowHeight="10995" activeTab="2"/>
  </bookViews>
  <sheets>
    <sheet name="Main" sheetId="3" r:id="rId1"/>
    <sheet name="23110" sheetId="2" r:id="rId2"/>
    <sheet name="SETTLEMENT" sheetId="1" r:id="rId3"/>
  </sheets>
  <definedNames>
    <definedName name="_xlnm._FilterDatabase" localSheetId="2" hidden="1">SETTLEMENT!$B$14:$I$112</definedName>
    <definedName name="_xlnm.Print_Area" localSheetId="2">SETTLEMENT!$B$1:$I$244</definedName>
  </definedNames>
  <calcPr calcId="152511"/>
</workbook>
</file>

<file path=xl/calcChain.xml><?xml version="1.0" encoding="utf-8"?>
<calcChain xmlns="http://schemas.openxmlformats.org/spreadsheetml/2006/main">
  <c r="I130" i="1" l="1"/>
  <c r="D130" i="1"/>
  <c r="E130" i="1"/>
  <c r="I128" i="1"/>
  <c r="E129" i="1"/>
  <c r="D129" i="1"/>
  <c r="D128" i="1"/>
  <c r="E128" i="1"/>
  <c r="E127" i="1"/>
  <c r="D127" i="1"/>
  <c r="D121" i="1"/>
  <c r="E121" i="1"/>
  <c r="E125" i="1"/>
  <c r="D125" i="1"/>
  <c r="E124" i="1"/>
  <c r="D124" i="1"/>
  <c r="D120" i="1"/>
  <c r="E120" i="1"/>
  <c r="I119" i="1"/>
  <c r="E119" i="1"/>
  <c r="D119" i="1"/>
  <c r="E134" i="1"/>
  <c r="D117" i="1"/>
  <c r="D135" i="1"/>
  <c r="E131" i="1"/>
  <c r="E126" i="1"/>
  <c r="D134" i="1"/>
  <c r="E117" i="1"/>
  <c r="E135" i="1"/>
  <c r="D131" i="1"/>
  <c r="D126" i="1"/>
  <c r="D122" i="1"/>
  <c r="E122" i="1"/>
  <c r="D118" i="1"/>
  <c r="E139" i="1"/>
  <c r="E118" i="1"/>
  <c r="D139" i="1"/>
  <c r="D123" i="1"/>
  <c r="D136" i="1"/>
  <c r="E142" i="1"/>
  <c r="D138" i="1"/>
  <c r="E133" i="1"/>
  <c r="E144" i="1"/>
  <c r="D144" i="1"/>
  <c r="E137" i="1"/>
  <c r="E132" i="1"/>
  <c r="D132" i="1"/>
  <c r="D137" i="1"/>
  <c r="E123" i="1"/>
  <c r="E138" i="1"/>
  <c r="D133" i="1"/>
  <c r="D142" i="1"/>
  <c r="E136" i="1"/>
  <c r="E140" i="1"/>
  <c r="D143" i="1"/>
  <c r="E116" i="1"/>
  <c r="E141" i="1"/>
  <c r="D141" i="1"/>
  <c r="D140" i="1"/>
  <c r="D116" i="1"/>
  <c r="E143" i="1"/>
  <c r="F152" i="1"/>
  <c r="E152" i="1"/>
  <c r="D152" i="1"/>
  <c r="F156" i="1"/>
  <c r="E156" i="1"/>
  <c r="D156" i="1"/>
  <c r="F155" i="1"/>
  <c r="E155" i="1"/>
  <c r="D155" i="1"/>
  <c r="F147" i="1"/>
  <c r="E147" i="1"/>
  <c r="D147" i="1"/>
  <c r="F148" i="1"/>
  <c r="E148" i="1"/>
  <c r="D148" i="1"/>
  <c r="F154" i="1"/>
  <c r="E154" i="1"/>
  <c r="D154" i="1"/>
  <c r="F149" i="1"/>
  <c r="E149" i="1"/>
  <c r="D149" i="1"/>
  <c r="F150" i="1"/>
  <c r="E150" i="1"/>
  <c r="D150" i="1"/>
  <c r="F151" i="1"/>
  <c r="E151" i="1"/>
  <c r="D151" i="1"/>
  <c r="F153" i="1"/>
  <c r="E153" i="1"/>
  <c r="D153" i="1"/>
  <c r="F10" i="1" l="1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D36" i="2"/>
  <c r="D29" i="2"/>
  <c r="C41" i="2"/>
  <c r="C25" i="2"/>
  <c r="D28" i="2"/>
  <c r="C40" i="2"/>
  <c r="C33" i="2"/>
  <c r="C22" i="2"/>
  <c r="C31" i="2"/>
  <c r="C20" i="2"/>
  <c r="D37" i="2"/>
  <c r="C24" i="2"/>
  <c r="D22" i="2"/>
  <c r="D19" i="2"/>
  <c r="D26" i="2"/>
  <c r="C39" i="2"/>
  <c r="C34" i="2"/>
  <c r="D27" i="2"/>
  <c r="C35" i="2"/>
  <c r="D39" i="2"/>
  <c r="D35" i="2"/>
  <c r="D34" i="2"/>
  <c r="D25" i="2"/>
  <c r="C21" i="2"/>
  <c r="C27" i="2"/>
  <c r="C26" i="2"/>
  <c r="D30" i="2"/>
  <c r="D38" i="2"/>
  <c r="D33" i="2"/>
  <c r="C29" i="2"/>
  <c r="D24" i="2"/>
  <c r="D40" i="2"/>
  <c r="C37" i="2"/>
  <c r="D20" i="2"/>
  <c r="C30" i="2"/>
  <c r="D21" i="2"/>
  <c r="D23" i="2"/>
  <c r="C38" i="2"/>
  <c r="C32" i="2"/>
  <c r="D41" i="2"/>
  <c r="D31" i="2"/>
  <c r="C23" i="2"/>
  <c r="D32" i="2"/>
  <c r="C36" i="2"/>
  <c r="C19" i="2"/>
  <c r="C28" i="2"/>
  <c r="E97" i="1"/>
  <c r="E101" i="1"/>
  <c r="I54" i="1"/>
  <c r="I138" i="1"/>
  <c r="D20" i="1"/>
  <c r="E91" i="1"/>
  <c r="I139" i="1"/>
  <c r="I81" i="1"/>
  <c r="I129" i="1"/>
  <c r="E15" i="1"/>
  <c r="D23" i="1"/>
  <c r="I67" i="1"/>
  <c r="D28" i="1"/>
  <c r="I50" i="1"/>
  <c r="I110" i="1"/>
  <c r="E36" i="1"/>
  <c r="I142" i="1"/>
  <c r="I24" i="1"/>
  <c r="I149" i="1"/>
  <c r="I135" i="1"/>
  <c r="E24" i="1"/>
  <c r="I107" i="1"/>
  <c r="I16" i="1"/>
  <c r="D106" i="1"/>
  <c r="I60" i="1"/>
  <c r="I104" i="1"/>
  <c r="D51" i="1"/>
  <c r="D109" i="1"/>
  <c r="E60" i="1"/>
  <c r="E89" i="1"/>
  <c r="E67" i="1"/>
  <c r="E53" i="1"/>
  <c r="E25" i="1"/>
  <c r="D66" i="1"/>
  <c r="D93" i="1"/>
  <c r="D42" i="1"/>
  <c r="I56" i="1"/>
  <c r="I132" i="1"/>
  <c r="I111" i="1"/>
  <c r="D77" i="1"/>
  <c r="D38" i="1"/>
  <c r="I106" i="1"/>
  <c r="I93" i="1"/>
  <c r="E84" i="1"/>
  <c r="I19" i="1"/>
  <c r="I39" i="1"/>
  <c r="D108" i="1"/>
  <c r="D59" i="1"/>
  <c r="I45" i="1"/>
  <c r="I91" i="1"/>
  <c r="I87" i="1"/>
  <c r="D52" i="1"/>
  <c r="D47" i="1"/>
  <c r="D103" i="1"/>
  <c r="I155" i="1"/>
  <c r="I79" i="1"/>
  <c r="D92" i="1"/>
  <c r="D36" i="1"/>
  <c r="E70" i="1"/>
  <c r="E46" i="1"/>
  <c r="E65" i="1"/>
  <c r="E29" i="1"/>
  <c r="D98" i="1"/>
  <c r="D112" i="1"/>
  <c r="D68" i="1"/>
  <c r="I109" i="1"/>
  <c r="D34" i="1"/>
  <c r="I43" i="1"/>
  <c r="I27" i="1"/>
  <c r="D79" i="1"/>
  <c r="I125" i="1"/>
  <c r="E37" i="1"/>
  <c r="E100" i="1"/>
  <c r="D33" i="1"/>
  <c r="I152" i="1"/>
  <c r="I70" i="1"/>
  <c r="E33" i="1"/>
  <c r="I134" i="1"/>
  <c r="E22" i="1"/>
  <c r="I144" i="1"/>
  <c r="I137" i="1"/>
  <c r="D85" i="1"/>
  <c r="E55" i="1"/>
  <c r="D71" i="1"/>
  <c r="D73" i="1"/>
  <c r="E78" i="1"/>
  <c r="I23" i="1"/>
  <c r="D67" i="1"/>
  <c r="I101" i="1"/>
  <c r="I65" i="1"/>
  <c r="D35" i="1"/>
  <c r="I97" i="1"/>
  <c r="I21" i="1"/>
  <c r="I124" i="1"/>
  <c r="E48" i="1"/>
  <c r="E112" i="1"/>
  <c r="I80" i="1"/>
  <c r="D53" i="1"/>
  <c r="E41" i="1"/>
  <c r="E92" i="1"/>
  <c r="D46" i="1"/>
  <c r="D40" i="1"/>
  <c r="D105" i="1"/>
  <c r="I83" i="1"/>
  <c r="I30" i="1"/>
  <c r="I46" i="1"/>
  <c r="I95" i="1"/>
  <c r="I143" i="1"/>
  <c r="E59" i="1"/>
  <c r="E20" i="1"/>
  <c r="E73" i="1"/>
  <c r="E19" i="1"/>
  <c r="E80" i="1"/>
  <c r="D63" i="1"/>
  <c r="D81" i="1"/>
  <c r="E47" i="1"/>
  <c r="I55" i="1"/>
  <c r="D111" i="1"/>
  <c r="D69" i="1"/>
  <c r="I36" i="1"/>
  <c r="I22" i="1"/>
  <c r="I85" i="1"/>
  <c r="I40" i="1"/>
  <c r="I94" i="1"/>
  <c r="I68" i="1"/>
  <c r="E108" i="1"/>
  <c r="I29" i="1"/>
  <c r="I57" i="1"/>
  <c r="E26" i="1"/>
  <c r="I89" i="1"/>
  <c r="D54" i="1"/>
  <c r="D60" i="1"/>
  <c r="I136" i="1"/>
  <c r="I73" i="1"/>
  <c r="D37" i="1"/>
  <c r="D30" i="1"/>
  <c r="I53" i="1"/>
  <c r="I112" i="1"/>
  <c r="D29" i="1"/>
  <c r="D78" i="1"/>
  <c r="E106" i="1"/>
  <c r="I147" i="1"/>
  <c r="D45" i="1"/>
  <c r="I121" i="1"/>
  <c r="I20" i="1"/>
  <c r="I140" i="1"/>
  <c r="E28" i="1"/>
  <c r="D100" i="1"/>
  <c r="I32" i="1"/>
  <c r="E96" i="1"/>
  <c r="I75" i="1"/>
  <c r="E104" i="1"/>
  <c r="I15" i="1"/>
  <c r="D74" i="1"/>
  <c r="E54" i="1"/>
  <c r="I63" i="1"/>
  <c r="I61" i="1"/>
  <c r="D82" i="1"/>
  <c r="I141" i="1"/>
  <c r="E61" i="1"/>
  <c r="D26" i="1"/>
  <c r="E56" i="1"/>
  <c r="D39" i="1"/>
  <c r="I116" i="1"/>
  <c r="I26" i="1"/>
  <c r="D95" i="1"/>
  <c r="E21" i="1"/>
  <c r="E95" i="1"/>
  <c r="I102" i="1"/>
  <c r="E49" i="1"/>
  <c r="I120" i="1"/>
  <c r="E63" i="1"/>
  <c r="D96" i="1"/>
  <c r="I123" i="1"/>
  <c r="I33" i="1"/>
  <c r="I86" i="1"/>
  <c r="E34" i="1"/>
  <c r="I44" i="1"/>
  <c r="D27" i="1"/>
  <c r="I153" i="1"/>
  <c r="I156" i="1"/>
  <c r="I58" i="1"/>
  <c r="E83" i="1"/>
  <c r="D58" i="1"/>
  <c r="I148" i="1"/>
  <c r="I28" i="1"/>
  <c r="I52" i="1"/>
  <c r="E31" i="1"/>
  <c r="I42" i="1"/>
  <c r="E18" i="1"/>
  <c r="E93" i="1"/>
  <c r="E57" i="1"/>
  <c r="E71" i="1"/>
  <c r="E107" i="1"/>
  <c r="I78" i="1"/>
  <c r="D86" i="1"/>
  <c r="D31" i="1"/>
  <c r="D24" i="1"/>
  <c r="I41" i="1"/>
  <c r="I18" i="1"/>
  <c r="I74" i="1"/>
  <c r="D57" i="1"/>
  <c r="D16" i="1"/>
  <c r="I72" i="1"/>
  <c r="D88" i="1"/>
  <c r="I88" i="1"/>
  <c r="D84" i="1"/>
  <c r="I151" i="1"/>
  <c r="D48" i="1"/>
  <c r="E45" i="1"/>
  <c r="D102" i="1"/>
  <c r="E43" i="1"/>
  <c r="D83" i="1"/>
  <c r="I31" i="1"/>
  <c r="E27" i="1"/>
  <c r="E105" i="1"/>
  <c r="E51" i="1"/>
  <c r="D76" i="1"/>
  <c r="D56" i="1"/>
  <c r="I84" i="1"/>
  <c r="I117" i="1"/>
  <c r="D41" i="1"/>
  <c r="I64" i="1"/>
  <c r="D91" i="1"/>
  <c r="E86" i="1"/>
  <c r="E69" i="1"/>
  <c r="I17" i="1"/>
  <c r="I133" i="1"/>
  <c r="E74" i="1"/>
  <c r="D55" i="1"/>
  <c r="D70" i="1"/>
  <c r="E52" i="1"/>
  <c r="I154" i="1"/>
  <c r="I96" i="1"/>
  <c r="I51" i="1"/>
  <c r="E23" i="1"/>
  <c r="D64" i="1"/>
  <c r="I131" i="1"/>
  <c r="E17" i="1"/>
  <c r="E79" i="1"/>
  <c r="I25" i="1"/>
  <c r="I59" i="1"/>
  <c r="E111" i="1"/>
  <c r="E85" i="1"/>
  <c r="I35" i="1"/>
  <c r="I47" i="1"/>
  <c r="I71" i="1"/>
  <c r="D104" i="1"/>
  <c r="E16" i="1"/>
  <c r="D101" i="1"/>
  <c r="I34" i="1"/>
  <c r="E99" i="1"/>
  <c r="E38" i="1"/>
  <c r="E75" i="1"/>
  <c r="D18" i="1"/>
  <c r="I49" i="1"/>
  <c r="E81" i="1"/>
  <c r="I77" i="1"/>
  <c r="I48" i="1"/>
  <c r="E62" i="1"/>
  <c r="D87" i="1"/>
  <c r="D89" i="1"/>
  <c r="D21" i="1"/>
  <c r="D72" i="1"/>
  <c r="I122" i="1"/>
  <c r="I99" i="1"/>
  <c r="I98" i="1"/>
  <c r="E44" i="1"/>
  <c r="D19" i="1"/>
  <c r="D49" i="1"/>
  <c r="E30" i="1"/>
  <c r="D107" i="1"/>
  <c r="I103" i="1"/>
  <c r="D80" i="1"/>
  <c r="I62" i="1"/>
  <c r="I76" i="1"/>
  <c r="E50" i="1"/>
  <c r="I69" i="1"/>
  <c r="E94" i="1"/>
  <c r="D15" i="1"/>
  <c r="D44" i="1"/>
  <c r="E87" i="1"/>
  <c r="D32" i="1"/>
  <c r="D25" i="1"/>
  <c r="E68" i="1"/>
  <c r="E82" i="1"/>
  <c r="E58" i="1"/>
  <c r="D50" i="1"/>
  <c r="E76" i="1"/>
  <c r="I38" i="1"/>
  <c r="I37" i="1"/>
  <c r="E72" i="1"/>
  <c r="D110" i="1"/>
  <c r="D94" i="1"/>
  <c r="D17" i="1"/>
  <c r="I118" i="1"/>
  <c r="E42" i="1"/>
  <c r="I100" i="1"/>
  <c r="E102" i="1"/>
  <c r="E103" i="1"/>
  <c r="E39" i="1"/>
  <c r="E32" i="1"/>
  <c r="I127" i="1"/>
  <c r="I105" i="1"/>
  <c r="E35" i="1"/>
  <c r="D97" i="1"/>
  <c r="D61" i="1"/>
  <c r="E88" i="1"/>
  <c r="E66" i="1"/>
  <c r="D75" i="1"/>
  <c r="I66" i="1"/>
  <c r="I150" i="1"/>
  <c r="D99" i="1"/>
  <c r="E110" i="1"/>
  <c r="E40" i="1"/>
  <c r="I92" i="1"/>
  <c r="I90" i="1"/>
  <c r="E77" i="1"/>
  <c r="D65" i="1"/>
  <c r="E64" i="1"/>
  <c r="E109" i="1"/>
  <c r="E98" i="1"/>
  <c r="I82" i="1"/>
  <c r="I126" i="1"/>
  <c r="I108" i="1"/>
  <c r="D90" i="1"/>
  <c r="D43" i="1"/>
  <c r="E90" i="1"/>
  <c r="D62" i="1"/>
  <c r="D22" i="1"/>
  <c r="F143" i="1" l="1"/>
  <c r="F144" i="1"/>
  <c r="F142" i="1"/>
  <c r="F128" i="1"/>
  <c r="F137" i="1"/>
  <c r="F129" i="1"/>
  <c r="F134" i="1"/>
  <c r="F140" i="1"/>
  <c r="F130" i="1"/>
  <c r="F135" i="1"/>
  <c r="F132" i="1"/>
  <c r="F138" i="1"/>
  <c r="F139" i="1"/>
  <c r="F136" i="1"/>
  <c r="F131" i="1"/>
  <c r="F133" i="1"/>
  <c r="F141" i="1"/>
  <c r="F125" i="1"/>
  <c r="F121" i="1"/>
  <c r="F126" i="1"/>
  <c r="F127" i="1"/>
  <c r="F124" i="1"/>
  <c r="F122" i="1"/>
  <c r="F123" i="1"/>
  <c r="F117" i="1"/>
  <c r="F110" i="1"/>
  <c r="F116" i="1"/>
  <c r="C9" i="2"/>
  <c r="F213" i="1"/>
  <c r="F118" i="1" l="1"/>
  <c r="F120" i="1"/>
  <c r="F119" i="1"/>
  <c r="F23" i="1" l="1"/>
  <c r="F105" i="1"/>
  <c r="F83" i="1"/>
  <c r="F88" i="1"/>
  <c r="F32" i="1"/>
  <c r="F104" i="1"/>
  <c r="F91" i="1"/>
  <c r="F42" i="1"/>
  <c r="F74" i="1"/>
  <c r="F43" i="1"/>
  <c r="F57" i="1"/>
  <c r="F86" i="1"/>
  <c r="F47" i="1"/>
  <c r="F109" i="1"/>
  <c r="F69" i="1"/>
  <c r="F44" i="1"/>
  <c r="F37" i="1"/>
  <c r="F27" i="1"/>
  <c r="F16" i="1"/>
  <c r="F87" i="1"/>
  <c r="F97" i="1"/>
  <c r="F73" i="1"/>
  <c r="F21" i="1"/>
  <c r="F90" i="1"/>
  <c r="F84" i="1"/>
  <c r="F51" i="1"/>
  <c r="F48" i="1"/>
  <c r="F46" i="1"/>
  <c r="F15" i="1"/>
  <c r="F56" i="1"/>
  <c r="F81" i="1"/>
  <c r="F77" i="1"/>
  <c r="F25" i="1"/>
  <c r="F22" i="1"/>
  <c r="F98" i="1"/>
  <c r="F99" i="1"/>
  <c r="F79" i="1"/>
  <c r="F33" i="1"/>
  <c r="F75" i="1"/>
  <c r="F20" i="1"/>
  <c r="F19" i="1"/>
  <c r="F100" i="1"/>
  <c r="F60" i="1"/>
  <c r="F53" i="1"/>
  <c r="F34" i="1"/>
  <c r="F59" i="1"/>
  <c r="F85" i="1"/>
  <c r="F92" i="1"/>
  <c r="F35" i="1"/>
  <c r="F80" i="1"/>
  <c r="F112" i="1"/>
  <c r="F64" i="1"/>
  <c r="F39" i="1"/>
  <c r="F40" i="1"/>
  <c r="F107" i="1"/>
  <c r="F82" i="1"/>
  <c r="F45" i="1"/>
  <c r="F103" i="1"/>
  <c r="F101" i="1"/>
  <c r="F61" i="1"/>
  <c r="F58" i="1"/>
  <c r="F50" i="1"/>
  <c r="F54" i="1"/>
  <c r="F93" i="1"/>
  <c r="F52" i="1"/>
  <c r="F18" i="1"/>
  <c r="F106" i="1"/>
  <c r="F31" i="1"/>
  <c r="F49" i="1"/>
  <c r="F89" i="1"/>
  <c r="F67" i="1"/>
  <c r="F108" i="1"/>
  <c r="F78" i="1"/>
  <c r="F28" i="1"/>
  <c r="F36" i="1"/>
  <c r="F65" i="1"/>
  <c r="F63" i="1"/>
  <c r="F29" i="1"/>
  <c r="F41" i="1"/>
  <c r="F66" i="1"/>
  <c r="F24" i="1"/>
  <c r="F17" i="1"/>
  <c r="F26" i="1"/>
  <c r="F94" i="1"/>
  <c r="F111" i="1"/>
  <c r="F102" i="1"/>
  <c r="F96" i="1"/>
  <c r="F95" i="1"/>
  <c r="F76" i="1"/>
  <c r="F38" i="1"/>
  <c r="F68" i="1"/>
  <c r="F71" i="1"/>
  <c r="F30" i="1"/>
  <c r="F62" i="1"/>
  <c r="F70" i="1"/>
  <c r="F72" i="1"/>
  <c r="F55" i="1"/>
</calcChain>
</file>

<file path=xl/sharedStrings.xml><?xml version="1.0" encoding="utf-8"?>
<sst xmlns="http://schemas.openxmlformats.org/spreadsheetml/2006/main" count="211" uniqueCount="145">
  <si>
    <t>`</t>
  </si>
  <si>
    <t>Date</t>
  </si>
  <si>
    <t xml:space="preserve"> </t>
  </si>
  <si>
    <t xml:space="preserve"> SETTLEMENT PRICE</t>
  </si>
  <si>
    <t>CCY</t>
  </si>
  <si>
    <t>BID</t>
  </si>
  <si>
    <t>ASK</t>
  </si>
  <si>
    <t>MID PRICE</t>
  </si>
  <si>
    <t>TIME</t>
  </si>
  <si>
    <t>AUDCAD</t>
  </si>
  <si>
    <t>AUDCHF</t>
  </si>
  <si>
    <t>AUDNZD</t>
  </si>
  <si>
    <t>AUDSGD</t>
  </si>
  <si>
    <t>CADSGD</t>
  </si>
  <si>
    <t>CHFSGD</t>
  </si>
  <si>
    <t>EURCAD</t>
  </si>
  <si>
    <t>EURSEK</t>
  </si>
  <si>
    <t>EURSGD</t>
  </si>
  <si>
    <t>EURZAR</t>
  </si>
  <si>
    <t>EURTRY</t>
  </si>
  <si>
    <t>GBPAUD</t>
  </si>
  <si>
    <t>GBPCAD</t>
  </si>
  <si>
    <t>GBPCHF</t>
  </si>
  <si>
    <t>GBPNZD</t>
  </si>
  <si>
    <t>GBPSGD</t>
  </si>
  <si>
    <t>GBPZAR</t>
  </si>
  <si>
    <t>HKDJPY</t>
  </si>
  <si>
    <t>NZDCAD</t>
  </si>
  <si>
    <t>NZDCHF</t>
  </si>
  <si>
    <t>USDCNH</t>
  </si>
  <si>
    <t>USDHKD</t>
  </si>
  <si>
    <t>USDIDR</t>
  </si>
  <si>
    <t>USDKRW</t>
  </si>
  <si>
    <t>USDMYR</t>
  </si>
  <si>
    <t>USDNOK</t>
  </si>
  <si>
    <t>USDPHP</t>
  </si>
  <si>
    <t>USDSEK</t>
  </si>
  <si>
    <t>USDSGD</t>
  </si>
  <si>
    <t>USDTHB</t>
  </si>
  <si>
    <t>USDTWD</t>
  </si>
  <si>
    <t>USDHUF</t>
  </si>
  <si>
    <t>USDMXN</t>
  </si>
  <si>
    <t>USDTRY</t>
  </si>
  <si>
    <t>USDPLN</t>
  </si>
  <si>
    <t>USDCNY</t>
  </si>
  <si>
    <t>XAGUSD</t>
  </si>
  <si>
    <t>XAUUSD</t>
  </si>
  <si>
    <t>USDJPY</t>
  </si>
  <si>
    <t>EURJPY</t>
  </si>
  <si>
    <t>AUDJPY</t>
  </si>
  <si>
    <t>GBPJPY</t>
  </si>
  <si>
    <t>CHFJPY</t>
  </si>
  <si>
    <t>NZDJPY</t>
  </si>
  <si>
    <t>CADJPY</t>
  </si>
  <si>
    <t>NOKJPY</t>
  </si>
  <si>
    <t>ZARJPY</t>
  </si>
  <si>
    <t>EURUSD</t>
  </si>
  <si>
    <t>GBPUSD</t>
  </si>
  <si>
    <t>AUDUSD</t>
  </si>
  <si>
    <t>NZDUSD</t>
  </si>
  <si>
    <t>USDCAD</t>
  </si>
  <si>
    <t>EURGBP</t>
  </si>
  <si>
    <t>EURCHF</t>
  </si>
  <si>
    <t>USDCHF</t>
  </si>
  <si>
    <t>USDZAR</t>
  </si>
  <si>
    <t>EURAUD</t>
  </si>
  <si>
    <t>EURNZD</t>
  </si>
  <si>
    <t>CNHJPY</t>
  </si>
  <si>
    <t>USDINR</t>
  </si>
  <si>
    <t>AUDSEK</t>
  </si>
  <si>
    <t>CADCHF</t>
  </si>
  <si>
    <t>CADNOK</t>
  </si>
  <si>
    <t>CADSEK</t>
  </si>
  <si>
    <t>CHFSEK</t>
  </si>
  <si>
    <t>CHFZAR</t>
  </si>
  <si>
    <t>DKKNOK</t>
  </si>
  <si>
    <t>EURDKK</t>
  </si>
  <si>
    <t>EURHUF</t>
  </si>
  <si>
    <t>EURMXN</t>
  </si>
  <si>
    <t>EURNOK</t>
  </si>
  <si>
    <t>EURPLN</t>
  </si>
  <si>
    <t>EURRUB</t>
  </si>
  <si>
    <t>GBPDKK</t>
  </si>
  <si>
    <t>GBPNOK</t>
  </si>
  <si>
    <t>GBPRUB</t>
  </si>
  <si>
    <t>GBPSEK</t>
  </si>
  <si>
    <t>GBPTRY</t>
  </si>
  <si>
    <t>NOKSEK</t>
  </si>
  <si>
    <t>USDCZK</t>
  </si>
  <si>
    <t>USDDKK</t>
  </si>
  <si>
    <t>USDRUB</t>
  </si>
  <si>
    <t>XPDUSD</t>
  </si>
  <si>
    <t>XPTUSD</t>
  </si>
  <si>
    <t>FORWARD</t>
  </si>
  <si>
    <t>DATE</t>
  </si>
  <si>
    <t>NDF FIXING</t>
  </si>
  <si>
    <t>THB ABSI Curncy</t>
  </si>
  <si>
    <t>MYR BNMK Curncy</t>
  </si>
  <si>
    <t>TRY11 INDEX</t>
  </si>
  <si>
    <t>PHFRRATE INDEX</t>
  </si>
  <si>
    <t>CNYMUSD INDEX</t>
  </si>
  <si>
    <t>JISDOR INDEX</t>
  </si>
  <si>
    <t>KOBRUSD INDEX</t>
  </si>
  <si>
    <t>INRRATE INDEX</t>
  </si>
  <si>
    <t>RUB MCDF CURNCY</t>
  </si>
  <si>
    <t>Month</t>
  </si>
  <si>
    <t>Year</t>
  </si>
  <si>
    <t xml:space="preserve">CHFDKK </t>
  </si>
  <si>
    <t>USDBRL</t>
  </si>
  <si>
    <t>BRL REGN CURNCY</t>
  </si>
  <si>
    <t>11:30AM</t>
  </si>
  <si>
    <t>2:30PM</t>
  </si>
  <si>
    <t>sgt</t>
  </si>
  <si>
    <t>3:00PM</t>
  </si>
  <si>
    <t>6:30PM</t>
  </si>
  <si>
    <t>T+1</t>
  </si>
  <si>
    <t>11:00AM</t>
  </si>
  <si>
    <t>5:00AM</t>
  </si>
  <si>
    <t>9:15AM</t>
  </si>
  <si>
    <t>XAUSGD</t>
  </si>
  <si>
    <t>XAGSGD</t>
  </si>
  <si>
    <t>SGDJPY</t>
  </si>
  <si>
    <t>NZDSGD</t>
  </si>
  <si>
    <t>USDILS</t>
  </si>
  <si>
    <t>EURCZK</t>
  </si>
  <si>
    <t>XAUCNH</t>
  </si>
  <si>
    <t>EURCNH</t>
  </si>
  <si>
    <t>GBPHKD</t>
  </si>
  <si>
    <t>USD/CNH</t>
  </si>
  <si>
    <t>EURHKD</t>
  </si>
  <si>
    <t>USDAED</t>
  </si>
  <si>
    <t>XPTSGD</t>
  </si>
  <si>
    <t>SDXT CMPN</t>
  </si>
  <si>
    <t>USD/ZAR</t>
  </si>
  <si>
    <t>USD/TWD</t>
  </si>
  <si>
    <t>USD/PHP</t>
  </si>
  <si>
    <t>USD/KRW</t>
  </si>
  <si>
    <t>USD/IDR</t>
  </si>
  <si>
    <t>twd</t>
  </si>
  <si>
    <t>usdtwd</t>
  </si>
  <si>
    <t>usdphp</t>
  </si>
  <si>
    <t>usdkrw</t>
  </si>
  <si>
    <t>usdidr</t>
  </si>
  <si>
    <t>usdzar</t>
  </si>
  <si>
    <t>USD/CNY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</si>
</sst>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000"/>
    <numFmt numFmtId="165" formatCode="0.00000"/>
    <numFmt numFmtId="166" formatCode="0.000"/>
    <numFmt numFmtId="167" formatCode="hh:mm"/>
    <numFmt numFmtId="168" formatCode="yyyy/mm/dd"/>
    <numFmt numFmtId="169" formatCode="0.000000"/>
    <numFmt numFmtId="170" formatCode="mm/dd/yy"/>
  </numFmts>
  <fonts count="21" x14ac:knownFonts="1">
    <font>
      <sz val="11"/>
      <color theme="1"/>
      <name val="Calibri"/>
      <family val="2"/>
      <scheme val="minor"/>
    </font>
    <font>
      <sz val="11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10"/>
      <color indexed="8"/>
      <name val="Times New Roman"/>
      <family val="1"/>
    </font>
    <font>
      <b/>
      <sz val="11"/>
      <color indexed="8"/>
      <name val="Times New Roman"/>
      <family val="1"/>
    </font>
    <font>
      <b/>
      <sz val="14"/>
      <color indexed="48"/>
      <name val="Times New Roman"/>
      <family val="1"/>
    </font>
    <font>
      <b/>
      <i/>
      <sz val="12"/>
      <color indexed="8"/>
      <name val="Arial"/>
      <family val="2"/>
    </font>
    <font>
      <b/>
      <sz val="12"/>
      <name val="Arial"/>
      <family val="2"/>
    </font>
    <font>
      <b/>
      <sz val="18"/>
      <color indexed="8"/>
      <name val="Times New Roman"/>
      <family val="1"/>
    </font>
    <font>
      <sz val="18"/>
      <name val="Arial"/>
      <family val="2"/>
    </font>
    <font>
      <b/>
      <sz val="18"/>
      <color indexed="48"/>
      <name val="Times New Roman"/>
      <family val="1"/>
    </font>
    <font>
      <b/>
      <sz val="12"/>
      <color indexed="8"/>
      <name val="Arial"/>
      <family val="2"/>
    </font>
    <font>
      <i/>
      <sz val="12"/>
      <name val="Arial"/>
      <family val="2"/>
    </font>
    <font>
      <sz val="11"/>
      <name val="Calibri"/>
      <family val="2"/>
      <scheme val="minor"/>
    </font>
    <font>
      <sz val="14"/>
      <name val="Calibri"/>
      <family val="2"/>
      <scheme val="minor"/>
    </font>
    <font>
      <b/>
      <i/>
      <sz val="14"/>
      <color indexed="8"/>
      <name val="Arial"/>
      <family val="2"/>
    </font>
    <font>
      <b/>
      <sz val="14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9" tint="0.3999755851924192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C0C0C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3" borderId="0" xfId="0" applyFill="1" applyBorder="1"/>
    <xf numFmtId="0" fontId="1" fillId="3" borderId="0" xfId="0" applyFont="1" applyFill="1" applyBorder="1"/>
    <xf numFmtId="164" fontId="1" fillId="3" borderId="0" xfId="0" applyNumberFormat="1" applyFont="1" applyFill="1" applyBorder="1"/>
    <xf numFmtId="0" fontId="2" fillId="3" borderId="0" xfId="0" applyFont="1" applyFill="1" applyBorder="1"/>
    <xf numFmtId="0" fontId="3" fillId="3" borderId="0" xfId="0" applyFont="1" applyFill="1" applyBorder="1"/>
    <xf numFmtId="164" fontId="3" fillId="3" borderId="0" xfId="0" applyNumberFormat="1" applyFont="1" applyFill="1" applyBorder="1"/>
    <xf numFmtId="0" fontId="4" fillId="3" borderId="0" xfId="0" applyFont="1" applyFill="1" applyBorder="1"/>
    <xf numFmtId="0" fontId="5" fillId="3" borderId="0" xfId="0" applyFont="1" applyFill="1" applyBorder="1"/>
    <xf numFmtId="164" fontId="5" fillId="3" borderId="0" xfId="0" applyNumberFormat="1" applyFont="1" applyFill="1" applyBorder="1"/>
    <xf numFmtId="15" fontId="5" fillId="3" borderId="0" xfId="0" applyNumberFormat="1" applyFont="1" applyFill="1" applyBorder="1" applyAlignment="1" applyProtection="1">
      <alignment horizontal="left"/>
      <protection locked="0"/>
    </xf>
    <xf numFmtId="15" fontId="5" fillId="3" borderId="0" xfId="0" applyNumberFormat="1" applyFont="1" applyFill="1" applyBorder="1" applyAlignment="1">
      <alignment horizontal="left"/>
    </xf>
    <xf numFmtId="15" fontId="5" fillId="3" borderId="0" xfId="0" applyNumberFormat="1" applyFont="1" applyFill="1" applyBorder="1" applyAlignment="1" applyProtection="1">
      <alignment horizontal="left"/>
      <protection locked="0"/>
    </xf>
    <xf numFmtId="0" fontId="5" fillId="3" borderId="0" xfId="0" applyFont="1" applyFill="1" applyBorder="1" applyAlignment="1">
      <alignment horizontal="left"/>
    </xf>
    <xf numFmtId="0" fontId="5" fillId="3" borderId="0" xfId="0" applyFont="1" applyFill="1" applyBorder="1" applyAlignment="1">
      <alignment horizontal="right"/>
    </xf>
    <xf numFmtId="0" fontId="6" fillId="4" borderId="0" xfId="0" applyFont="1" applyFill="1" applyBorder="1"/>
    <xf numFmtId="0" fontId="7" fillId="2" borderId="1" xfId="0" applyFont="1" applyFill="1" applyBorder="1" applyAlignment="1">
      <alignment horizontal="left"/>
    </xf>
    <xf numFmtId="0" fontId="7" fillId="2" borderId="2" xfId="0" applyFont="1" applyFill="1" applyBorder="1" applyAlignment="1">
      <alignment horizontal="left"/>
    </xf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8" fillId="5" borderId="4" xfId="0" applyFont="1" applyFill="1" applyBorder="1" applyAlignment="1">
      <alignment horizontal="left"/>
    </xf>
    <xf numFmtId="0" fontId="8" fillId="5" borderId="5" xfId="0" applyFont="1" applyFill="1" applyBorder="1" applyAlignment="1">
      <alignment horizontal="left"/>
    </xf>
    <xf numFmtId="164" fontId="8" fillId="6" borderId="2" xfId="0" applyNumberFormat="1" applyFont="1" applyFill="1" applyBorder="1" applyAlignment="1">
      <alignment horizontal="center"/>
    </xf>
    <xf numFmtId="164" fontId="8" fillId="6" borderId="3" xfId="0" applyNumberFormat="1" applyFont="1" applyFill="1" applyBorder="1" applyAlignment="1">
      <alignment horizontal="center"/>
    </xf>
    <xf numFmtId="0" fontId="8" fillId="5" borderId="1" xfId="0" applyFont="1" applyFill="1" applyBorder="1" applyAlignment="1">
      <alignment horizontal="left"/>
    </xf>
    <xf numFmtId="0" fontId="8" fillId="5" borderId="2" xfId="0" applyFont="1" applyFill="1" applyBorder="1" applyAlignment="1">
      <alignment horizontal="left"/>
    </xf>
    <xf numFmtId="0" fontId="8" fillId="5" borderId="6" xfId="0" applyFont="1" applyFill="1" applyBorder="1" applyAlignment="1">
      <alignment horizontal="left"/>
    </xf>
    <xf numFmtId="0" fontId="8" fillId="5" borderId="7" xfId="0" applyFont="1" applyFill="1" applyBorder="1" applyAlignment="1">
      <alignment horizontal="left"/>
    </xf>
    <xf numFmtId="0" fontId="8" fillId="5" borderId="8" xfId="0" applyFont="1" applyFill="1" applyBorder="1" applyAlignment="1">
      <alignment horizontal="left"/>
    </xf>
    <xf numFmtId="0" fontId="8" fillId="5" borderId="9" xfId="0" applyFont="1" applyFill="1" applyBorder="1" applyAlignment="1">
      <alignment horizontal="left"/>
    </xf>
    <xf numFmtId="1" fontId="8" fillId="6" borderId="2" xfId="0" applyNumberFormat="1" applyFont="1" applyFill="1" applyBorder="1" applyAlignment="1">
      <alignment horizontal="center"/>
    </xf>
    <xf numFmtId="1" fontId="8" fillId="6" borderId="3" xfId="0" applyNumberFormat="1" applyFont="1" applyFill="1" applyBorder="1" applyAlignment="1">
      <alignment horizontal="center"/>
    </xf>
    <xf numFmtId="2" fontId="8" fillId="6" borderId="2" xfId="0" applyNumberFormat="1" applyFont="1" applyFill="1" applyBorder="1" applyAlignment="1">
      <alignment horizontal="center"/>
    </xf>
    <xf numFmtId="2" fontId="8" fillId="6" borderId="3" xfId="0" applyNumberFormat="1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164" fontId="8" fillId="2" borderId="0" xfId="0" applyNumberFormat="1" applyFont="1" applyFill="1" applyAlignment="1">
      <alignment horizontal="center"/>
    </xf>
    <xf numFmtId="0" fontId="9" fillId="3" borderId="0" xfId="0" applyFont="1" applyFill="1" applyBorder="1"/>
    <xf numFmtId="164" fontId="9" fillId="3" borderId="0" xfId="0" applyNumberFormat="1" applyFont="1" applyFill="1" applyBorder="1"/>
    <xf numFmtId="0" fontId="10" fillId="3" borderId="0" xfId="0" applyFont="1" applyFill="1" applyBorder="1"/>
    <xf numFmtId="15" fontId="9" fillId="3" borderId="0" xfId="0" applyNumberFormat="1" applyFont="1" applyFill="1" applyBorder="1" applyAlignment="1">
      <alignment horizontal="left"/>
    </xf>
    <xf numFmtId="15" fontId="9" fillId="3" borderId="0" xfId="0" applyNumberFormat="1" applyFont="1" applyFill="1" applyBorder="1" applyAlignment="1" applyProtection="1">
      <alignment horizontal="left"/>
      <protection locked="0"/>
    </xf>
    <xf numFmtId="0" fontId="9" fillId="3" borderId="0" xfId="0" applyFont="1" applyFill="1" applyBorder="1" applyAlignment="1">
      <alignment horizontal="left"/>
    </xf>
    <xf numFmtId="0" fontId="9" fillId="3" borderId="0" xfId="0" applyFont="1" applyFill="1" applyBorder="1" applyAlignment="1">
      <alignment horizontal="right"/>
    </xf>
    <xf numFmtId="0" fontId="10" fillId="2" borderId="0" xfId="0" applyFont="1" applyFill="1" applyBorder="1"/>
    <xf numFmtId="0" fontId="11" fillId="4" borderId="0" xfId="0" applyFont="1" applyFill="1" applyBorder="1"/>
    <xf numFmtId="0" fontId="11" fillId="2" borderId="0" xfId="0" applyFont="1" applyFill="1" applyBorder="1"/>
    <xf numFmtId="0" fontId="12" fillId="3" borderId="0" xfId="0" applyFont="1" applyFill="1" applyBorder="1"/>
    <xf numFmtId="164" fontId="12" fillId="3" borderId="0" xfId="0" applyNumberFormat="1" applyFont="1" applyFill="1" applyBorder="1"/>
    <xf numFmtId="15" fontId="12" fillId="3" borderId="0" xfId="0" applyNumberFormat="1" applyFont="1" applyFill="1" applyBorder="1" applyAlignment="1" applyProtection="1">
      <alignment horizontal="left"/>
      <protection locked="0"/>
    </xf>
    <xf numFmtId="15" fontId="12" fillId="3" borderId="0" xfId="0" applyNumberFormat="1" applyFont="1" applyFill="1" applyBorder="1" applyAlignment="1" applyProtection="1">
      <alignment horizontal="left"/>
      <protection locked="0"/>
    </xf>
    <xf numFmtId="0" fontId="12" fillId="3" borderId="0" xfId="0" applyFont="1" applyFill="1" applyBorder="1" applyAlignment="1">
      <alignment horizontal="left"/>
    </xf>
    <xf numFmtId="164" fontId="8" fillId="6" borderId="2" xfId="0" quotePrefix="1" applyNumberFormat="1" applyFont="1" applyFill="1" applyBorder="1" applyAlignment="1">
      <alignment horizontal="center"/>
    </xf>
    <xf numFmtId="165" fontId="8" fillId="6" borderId="2" xfId="0" quotePrefix="1" applyNumberFormat="1" applyFont="1" applyFill="1" applyBorder="1" applyAlignment="1">
      <alignment horizontal="center"/>
    </xf>
    <xf numFmtId="0" fontId="14" fillId="7" borderId="0" xfId="0" applyFont="1" applyFill="1"/>
    <xf numFmtId="0" fontId="0" fillId="7" borderId="0" xfId="0" applyFill="1"/>
    <xf numFmtId="166" fontId="8" fillId="6" borderId="2" xfId="0" applyNumberFormat="1" applyFont="1" applyFill="1" applyBorder="1" applyAlignment="1">
      <alignment horizontal="center"/>
    </xf>
    <xf numFmtId="166" fontId="8" fillId="6" borderId="3" xfId="0" applyNumberFormat="1" applyFont="1" applyFill="1" applyBorder="1" applyAlignment="1">
      <alignment horizontal="center"/>
    </xf>
    <xf numFmtId="165" fontId="8" fillId="6" borderId="3" xfId="0" applyNumberFormat="1" applyFont="1" applyFill="1" applyBorder="1" applyAlignment="1">
      <alignment horizontal="center"/>
    </xf>
    <xf numFmtId="0" fontId="13" fillId="5" borderId="1" xfId="0" applyFont="1" applyFill="1" applyBorder="1" applyAlignment="1">
      <alignment horizontal="left"/>
    </xf>
    <xf numFmtId="0" fontId="13" fillId="5" borderId="9" xfId="0" applyFont="1" applyFill="1" applyBorder="1" applyAlignment="1">
      <alignment horizontal="left"/>
    </xf>
    <xf numFmtId="2" fontId="13" fillId="6" borderId="3" xfId="0" applyNumberFormat="1" applyFont="1" applyFill="1" applyBorder="1" applyAlignment="1">
      <alignment horizontal="center"/>
    </xf>
    <xf numFmtId="0" fontId="13" fillId="5" borderId="2" xfId="0" applyFont="1" applyFill="1" applyBorder="1" applyAlignment="1">
      <alignment horizontal="left"/>
    </xf>
    <xf numFmtId="164" fontId="13" fillId="6" borderId="3" xfId="0" applyNumberFormat="1" applyFont="1" applyFill="1" applyBorder="1" applyAlignment="1">
      <alignment horizontal="center"/>
    </xf>
    <xf numFmtId="167" fontId="8" fillId="5" borderId="3" xfId="0" applyNumberFormat="1" applyFont="1" applyFill="1" applyBorder="1" applyAlignment="1">
      <alignment horizontal="center"/>
    </xf>
    <xf numFmtId="167" fontId="13" fillId="6" borderId="3" xfId="0" applyNumberFormat="1" applyFont="1" applyFill="1" applyBorder="1" applyAlignment="1">
      <alignment horizontal="center"/>
    </xf>
    <xf numFmtId="0" fontId="8" fillId="5" borderId="3" xfId="0" applyFont="1" applyFill="1" applyBorder="1" applyAlignment="1">
      <alignment horizontal="left"/>
    </xf>
    <xf numFmtId="169" fontId="8" fillId="6" borderId="2" xfId="0" applyNumberFormat="1" applyFont="1" applyFill="1" applyBorder="1" applyAlignment="1">
      <alignment horizontal="center"/>
    </xf>
    <xf numFmtId="14" fontId="14" fillId="7" borderId="0" xfId="0" applyNumberFormat="1" applyFont="1" applyFill="1"/>
    <xf numFmtId="49" fontId="14" fillId="7" borderId="0" xfId="0" applyNumberFormat="1" applyFont="1" applyFill="1"/>
    <xf numFmtId="169" fontId="8" fillId="6" borderId="3" xfId="0" applyNumberFormat="1" applyFont="1" applyFill="1" applyBorder="1" applyAlignment="1">
      <alignment horizontal="center"/>
    </xf>
    <xf numFmtId="0" fontId="15" fillId="7" borderId="0" xfId="0" applyFont="1" applyFill="1"/>
    <xf numFmtId="168" fontId="15" fillId="7" borderId="0" xfId="0" applyNumberFormat="1" applyFont="1" applyFill="1"/>
    <xf numFmtId="0" fontId="16" fillId="2" borderId="3" xfId="0" applyFont="1" applyFill="1" applyBorder="1" applyAlignment="1">
      <alignment horizontal="center"/>
    </xf>
    <xf numFmtId="170" fontId="17" fillId="7" borderId="3" xfId="0" quotePrefix="1" applyNumberFormat="1" applyFont="1" applyFill="1" applyBorder="1"/>
    <xf numFmtId="168" fontId="17" fillId="7" borderId="3" xfId="0" applyNumberFormat="1" applyFont="1" applyFill="1" applyBorder="1"/>
    <xf numFmtId="168" fontId="15" fillId="7" borderId="3" xfId="0" applyNumberFormat="1" applyFont="1" applyFill="1" applyBorder="1"/>
    <xf numFmtId="0" fontId="18" fillId="7" borderId="0" xfId="0" applyFont="1" applyFill="1" applyAlignment="1">
      <alignment horizontal="right"/>
    </xf>
    <xf numFmtId="0" fontId="20" fillId="5" borderId="1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1:04:01 AM</v>
        <stp/>
        <stp>BDP|2852675990058860441|22</stp>
        <stp>AUDNZD BGN Curncy</stp>
        <stp>BID_ASK_TIME</stp>
        <tr r="I18" s="1"/>
      </tp>
      <tp t="s">
        <v>1:04:01 AM</v>
        <stp/>
        <stp>BDP|8595679649722044799|22</stp>
        <stp>USDCAD BGN Curncy</stp>
        <stp>BID_ASK_TIME</stp>
        <tr r="I79" s="1"/>
      </tp>
      <tp t="s">
        <v>1:04:01 AM</v>
        <stp/>
        <stp>BDP|9281906053637834730|22</stp>
        <stp>EURCZK BGN Curncy</stp>
        <stp>BID_ASK_TIME</stp>
        <tr r="I38" s="1"/>
      </tp>
      <tp>
        <v>1.59243</v>
        <stp/>
        <stp>BDP|668157537214457522|22</stp>
        <stp>EURAUD BGN Curncy</stp>
        <stp>ASK</stp>
        <tr r="E34" s="1"/>
      </tp>
      <tp>
        <v>1.2250000000000001</v>
        <stp/>
        <stp>BDP|967393780686082909|22</stp>
        <stp>GBPCHF BGN Curncy</stp>
        <stp>BID</stp>
        <tr r="D56" s="1"/>
      </tp>
      <tp t="s">
        <v>1:04:02 AM</v>
        <stp/>
        <stp>BDP|8555651003908152521|22</stp>
        <stp>CADCHF BGN Curncy</stp>
        <stp>BID_ASK_TIME</stp>
        <tr r="I22" s="1"/>
      </tp>
      <tp t="s">
        <v>1:04:02 AM</v>
        <stp/>
        <stp>BDP|2048773157888046245|22</stp>
        <stp>GBPCHF BGN Curncy</stp>
        <stp>BID_ASK_TIME</stp>
        <tr r="I56" s="1"/>
      </tp>
      <tp t="s">
        <v>1:04:01 AM</v>
        <stp/>
        <stp>BDP|4352000570293152918|22</stp>
        <stp>EURGBP BGN Curncy</stp>
        <stp>BID_ASK_TIME</stp>
        <tr r="I40" s="1"/>
      </tp>
      <tp t="s">
        <v>1:02:43 AM</v>
        <stp/>
        <stp>BDP|1623964588890154919|22</stp>
        <stp>SDXT CMPN BGN Curncy</stp>
        <stp>BID_ASK_TIME</stp>
        <tr r="I110" s="1"/>
      </tp>
      <tp t="s">
        <v>1:04:01 AM</v>
        <stp/>
        <stp>BDP|1949283374498794598|22</stp>
        <stp>USDNOK BGN Curncy</stp>
        <stp>BID_ASK_TIME</stp>
        <tr r="I94" s="1"/>
      </tp>
      <tp t="s">
        <v>1:04:02 AM</v>
        <stp/>
        <stp>BDP|7803127547165364482|22</stp>
        <stp>EURNZD BGN Curncy</stp>
        <stp>BID_ASK_TIME</stp>
        <tr r="I46" s="1"/>
      </tp>
      <tp t="s">
        <v>1:04:01 AM</v>
        <stp/>
        <stp>BDP|2585699177294328807|22</stp>
        <stp>AUDJPY BGN Curncy</stp>
        <stp>BID_ASK_TIME</stp>
        <tr r="I17" s="1"/>
      </tp>
      <tp>
        <v>17.9909</v>
        <stp/>
        <stp>BDP|199820214628626440|22</stp>
        <stp>EURZAR BGN Curncy</stp>
        <stp>BID</stp>
        <tr r="D53" s="1"/>
      </tp>
      <tp t="s">
        <v>11:29:25 PM</v>
        <stp/>
        <stp>BDP|2978002103082613278|22</stp>
        <stp>USDCNY BGN Curncy</stp>
        <stp>BID_ASK_TIME</stp>
        <tr r="I119" s="1"/>
      </tp>
      <tp t="s">
        <v>4:20:05 PM</v>
        <stp/>
        <stp>BDP|298267958608827820|22</stp>
        <stp>JISDOR INDEX</stp>
        <stp>TIME</stp>
        <tr r="I149" s="1"/>
      </tp>
      <tp t="s">
        <v>1:04:01 AM</v>
        <stp/>
        <stp>BDP|7848138794860268596|22</stp>
        <stp>CHFJPY BGN Curncy</stp>
        <stp>BID_ASK_TIME</stp>
        <tr r="I28" s="1"/>
      </tp>
      <tp t="s">
        <v>1:04:01 AM</v>
        <stp/>
        <stp>BDP|1716727321896935650|22</stp>
        <stp>USDCNH BGN Curncy</stp>
        <stp>BID_ASK_TIME</stp>
        <tr r="I122" s="1"/>
        <tr r="I81" s="1"/>
      </tp>
      <tp t="s">
        <v>1:04:02 AM</v>
        <stp/>
        <stp>BDP|1528479896210140630|22</stp>
        <stp>EURCNH BGN Curncy</stp>
        <stp>BID_ASK_TIME</stp>
        <tr r="I37" s="1"/>
      </tp>
      <tp t="s">
        <v>2:29:59 PM</v>
        <stp/>
        <stp>BDP|3035342672174147981|22</stp>
        <stp>USDKRW BGN Curncy</stp>
        <stp>BID_ASK_TIME</stp>
        <tr r="I127" s="1"/>
        <tr r="I118" s="1"/>
        <tr r="I120" s="1"/>
        <tr r="I116" s="1"/>
      </tp>
      <tp t="s">
        <v>3:59:58 PM</v>
        <stp/>
        <stp>BDP|11459950062300307039|22</stp>
        <stp>usdphp BGN Curncy</stp>
        <stp>BID_ASK_TIME</stp>
        <tr r="I141" s="1"/>
        <tr r="I136" s="1"/>
      </tp>
      <tp>
        <v>1.331</v>
        <stp/>
        <stp>BDP|696677694098440776|22</stp>
        <stp>GBPUSD BGN Curncy</stp>
        <stp>ASK</stp>
        <tr r="E66" s="1"/>
      </tp>
      <tp t="s">
        <v>1:04:01 AM</v>
        <stp/>
        <stp>BDP|6974524061075995131|22</stp>
        <stp>NOKJPY BGN Curncy</stp>
        <stp>BID_ASK_TIME</stp>
        <tr r="I69" s="1"/>
      </tp>
      <tp t="s">
        <v>1:04:02 AM</v>
        <stp/>
        <stp>BDP|8422394878134209622|22</stp>
        <stp>GBPDKK BGN Curncy</stp>
        <stp>BID_ASK_TIME</stp>
        <tr r="I57" s="1"/>
      </tp>
      <tp t="s">
        <v>1:04:02 AM</v>
        <stp/>
        <stp>BDP|2746526946091067645|22</stp>
        <stp>GBPAUD BGN Curncy</stp>
        <stp>BID_ASK_TIME</stp>
        <tr r="I54" s="1"/>
      </tp>
      <tp t="s">
        <v>1:04:02 AM</v>
        <stp/>
        <stp>BDP|13682781242730332804|22</stp>
        <stp>CHFDKK  BGN Curncy</stp>
        <stp>BID_ASK_TIME</stp>
        <tr r="I27" s="1"/>
      </tp>
      <tp t="s">
        <v>1:04:01 AM</v>
        <stp/>
        <stp>BDP|7976552231129220806|22</stp>
        <stp>EURCAD BGN Curncy</stp>
        <stp>BID_ASK_TIME</stp>
        <tr r="I35" s="1"/>
      </tp>
      <tp t="s">
        <v>1:04:01 AM</v>
        <stp/>
        <stp>BDP|2865374863431299957|22</stp>
        <stp>ZARJPY BGN Curncy</stp>
        <stp>BID_ASK_TIME</stp>
        <tr r="I112" s="1"/>
      </tp>
      <tp t="s">
        <v>1:04:02 AM</v>
        <stp/>
        <stp>BDP|8781314215873822717|22</stp>
        <stp>NZDCHF BGN Curncy</stp>
        <stp>BID_ASK_TIME</stp>
        <tr r="I72" s="1"/>
      </tp>
      <tp>
        <v>21.176300000000001</v>
        <stp/>
        <stp>BDP|409997322980020665|22</stp>
        <stp>GBPZAR BGN Curncy</stp>
        <stp>BID</stp>
        <tr r="D67" s="1"/>
      </tp>
      <tp>
        <v>11248.96</v>
        <stp/>
        <stp>BDP|755802126116733598|22</stp>
        <stp>XAUCNH BGN Curncy</stp>
        <stp>ASK</stp>
        <tr r="E106" s="1"/>
      </tp>
      <tp t="s">
        <v>1:04:01 AM</v>
        <stp/>
        <stp>BDP|7903448243489462612|22</stp>
        <stp>USDMXN BGN Curncy</stp>
        <stp>BID_ASK_TIME</stp>
        <tr r="I92" s="1"/>
      </tp>
      <tp>
        <v>1282.4329</v>
        <stp/>
        <stp>BDP|15226257414799890089|22</stp>
        <stp>SDXT CMPN BGN Curncy</stp>
        <stp>BID</stp>
        <tr r="D110" s="1"/>
      </tp>
      <tp t="s">
        <v>1:04:02 AM</v>
        <stp/>
        <stp>BDP|4245921925450286463|22</stp>
        <stp>EURNOK BGN Curncy</stp>
        <stp>BID_ASK_TIME</stp>
        <tr r="I45" s="1"/>
      </tp>
      <tp t="s">
        <v>1:04:01 AM</v>
        <stp/>
        <stp>BDP|2417237812090429289|22</stp>
        <stp>CNHJPY BGN Curncy</stp>
        <stp>BID_ASK_TIME</stp>
        <tr r="I32" s="1"/>
      </tp>
      <tp>
        <v>1290.0119999999999</v>
        <stp/>
        <stp>BDP|15714851195639131276|22</stp>
        <stp>SDXT CMPN BGN Curncy</stp>
        <stp>ASK</stp>
        <tr r="E110" s="1"/>
      </tp>
      <tp t="s">
        <v>#N/A Requesting Data...3666776607</v>
        <stp/>
        <stp>BDP|16634783180065659600</stp>
        <tr r="D123" s="1"/>
      </tp>
      <tp t="s">
        <v>#N/A Requesting Data...2096736332</v>
        <stp/>
        <stp>BDP|18287728948607826620</stp>
        <tr r="E134" s="1"/>
      </tp>
      <tp t="s">
        <v>1:03:38 AM</v>
        <stp/>
        <stp>BDP|3613715319812485876|22</stp>
        <stp>CHFZAR BGN Curncy</stp>
        <stp>BID_ASK_TIME</stp>
        <tr r="I31" s="1"/>
      </tp>
      <tp t="s">
        <v>#N/A Requesting Data...3677157914</v>
        <stp/>
        <stp>BDP|14013854477705087585</stp>
        <tr r="D155" s="1"/>
        <tr r="E155" s="1"/>
        <tr r="F155" s="1"/>
      </tp>
      <tp t="s">
        <v>#N/A N/A</v>
        <stp/>
        <stp>BDP|18352233923804650776</stp>
        <tr r="E125" s="1"/>
      </tp>
      <tp t="s">
        <v>1:04:01 AM</v>
        <stp/>
        <stp>BDP|9031759595076043966|22</stp>
        <stp>USDILS BGN Curncy</stp>
        <stp>TIME</stp>
        <tr r="I88" s="1"/>
      </tp>
      <tp t="s">
        <v>1:03:56 AM</v>
        <stp/>
        <stp>BDP|9767292246893957827|22</stp>
        <stp>XPDUSD BGN Curncy</stp>
        <stp>BID_ASK_TIME</stp>
        <tr r="I109" s="1"/>
      </tp>
      <tp t="s">
        <v>1:03:46 AM</v>
        <stp/>
        <stp>BDP|11917853137640626101|22</stp>
        <stp xml:space="preserve"> BGN Curncy</stp>
        <stp>BID_ASK_TIME</stp>
        <tr r="I131" s="1"/>
      </tp>
      <tp t="s">
        <v>#N/A N/A</v>
        <stp/>
        <stp>BDP|11133145213781290898</stp>
        <tr r="E127" s="1"/>
      </tp>
      <tp>
        <v>17.286999999999999</v>
        <stp/>
        <stp>BDP|612044830275178559|22</stp>
        <stp>CHFZAR BGN Curncy</stp>
        <stp>BID</stp>
        <tr r="D31" s="1"/>
      </tp>
      <tp>
        <v>0.99490000000000001</v>
        <stp/>
        <stp>BDP|899403422688775161|22</stp>
        <stp>NOKSEK BGN Curncy</stp>
        <stp>BID</stp>
        <tr r="D70" s="1"/>
      </tp>
      <tp t="s">
        <v>1:04:01 AM</v>
        <stp/>
        <stp>BDP|3271822176081852219|22</stp>
        <stp>AUDSGD BGN Curncy</stp>
        <stp>BID_ASK_TIME</stp>
        <tr r="I20" s="1"/>
      </tp>
      <tp t="s">
        <v>1:04:01 AM</v>
        <stp/>
        <stp>BDP|4174425406049299585|22</stp>
        <stp>USDTRY BGN Curncy</stp>
        <stp>BID_ASK_TIME</stp>
        <tr r="I101" s="1"/>
      </tp>
      <tp t="s">
        <v>1:03:41 AM</v>
        <stp/>
        <stp>BDP|16918159072318665777|22</stp>
        <stp>USDAED CMPN Curncy</stp>
        <stp>BID_ASK_TIME</stp>
        <tr r="I77" s="1"/>
      </tp>
      <tp t="s">
        <v>#N/A Requesting Data...3998864440</v>
        <stp/>
        <stp>BDP|17118990718555966309</stp>
        <tr r="D117" s="1"/>
      </tp>
      <tp>
        <v>13.6632</v>
        <stp/>
        <stp>BDP|558062665267257415|22</stp>
        <stp>USDTRY BGN Curncy</stp>
        <stp>BID</stp>
        <tr r="D101" s="1"/>
      </tp>
      <tp t="s">
        <v>1:04:01 AM</v>
        <stp/>
        <stp>BDP|1726997269158652679|22</stp>
        <stp>EURUSD BGN Curncy</stp>
        <stp>BID_ASK_TIME</stp>
        <tr r="I52" s="1"/>
      </tp>
      <tp t="s">
        <v>1:04:01 AM</v>
        <stp/>
        <stp>BDP|1936128635113578493|22</stp>
        <stp>CHFSEK BGN Curncy</stp>
        <stp>BID_ASK_TIME</stp>
        <tr r="I29" s="1"/>
      </tp>
      <tp t="s">
        <v>#N/A Requesting Data...2648058623</v>
        <stp/>
        <stp>BDP|13243184246338518015</stp>
        <tr r="E118" s="1"/>
      </tp>
      <tp>
        <v>0.71</v>
        <stp/>
        <stp>BDP|660930951269798815|22</stp>
        <stp>AUDUSD BGN Curncy</stp>
        <stp>BID</stp>
        <tr r="D21" s="1"/>
      </tp>
      <tp t="s">
        <v>#N/A Requesting Data...4173835174</v>
        <stp/>
        <stp>BDP|18208114353772704163</stp>
        <tr r="D118" s="1"/>
      </tp>
      <tp t="s">
        <v>#N/A Requesting Data...3918400823</v>
        <stp/>
        <stp>BDP|15514847876484189213</stp>
        <tr r="E142" s="1"/>
      </tp>
      <tp t="s">
        <v>5:59:33 PM</v>
        <stp/>
        <stp>BDP|7795147767129110867|22</stp>
        <stp>USDMYR BGN Curncy</stp>
        <stp>TIME</stp>
        <tr r="I93" s="1"/>
      </tp>
      <tp t="s">
        <v>#N/A Requesting Data...3026631399</v>
        <stp/>
        <stp>BDP|15179788872799293126</stp>
        <tr r="D138" s="1"/>
      </tp>
      <tp t="s">
        <v>#N/A Requesting Data...2593004332</v>
        <stp/>
        <stp>BDP|15683067089381577166</stp>
        <tr r="D136" s="1"/>
      </tp>
      <tp t="s">
        <v>1:04:01 AM</v>
        <stp/>
        <stp>BDP|2121715035512112851|22</stp>
        <stp>CHFSGD BGN Curncy</stp>
        <stp>BID_ASK_TIME</stp>
        <tr r="I30" s="1"/>
      </tp>
      <tp t="s">
        <v>3:59:59 PM</v>
        <stp/>
        <stp>BDP|12897483207147529990|22</stp>
        <stp>usdidr BGN Curncy</stp>
        <stp>BID_ASK_TIME</stp>
        <tr r="I133" s="1"/>
        <tr r="I132" s="1"/>
        <tr r="I142" s="1"/>
        <tr r="I139" s="1"/>
      </tp>
      <tp t="s">
        <v>#N/A Requesting Data...3452118408</v>
        <stp/>
        <stp>BDP|11343384112880485106</stp>
        <tr r="D148" s="1"/>
        <tr r="E148" s="1"/>
        <tr r="F148" s="1"/>
      </tp>
      <tp t="s">
        <v>#N/A Requesting Data...2674527014</v>
        <stp/>
        <stp>BDP|14679377599509531537</stp>
        <tr r="E133" s="1"/>
      </tp>
      <tp t="s">
        <v>5:59:59 PM</v>
        <stp/>
        <stp>BDP|3855528368768719218|22</stp>
        <stp>USDINR BGN Curncy</stp>
        <stp>TIME</stp>
        <tr r="I89" s="1"/>
      </tp>
      <tp t="s">
        <v>1:04:01 AM</v>
        <stp/>
        <stp>BDP|7098130923059182681|22</stp>
        <stp>EURPLN BGN Curncy</stp>
        <stp>BID_ASK_TIME</stp>
        <tr r="I47" s="1"/>
      </tp>
      <tp t="s">
        <v>1:04:01 AM</v>
        <stp/>
        <stp>BDP|2508536907230418296|22</stp>
        <stp>NOKSEK BGN Curncy</stp>
        <stp>BID_ASK_TIME</stp>
        <tr r="I70" s="1"/>
      </tp>
      <tp t="s">
        <v>1:04:01 AM</v>
        <stp/>
        <stp>BDP|4480679014076541903|22</stp>
        <stp>NZDUSD BGN Curncy</stp>
        <stp>BID_ASK_TIME</stp>
        <tr r="I75" s="1"/>
      </tp>
      <tp t="s">
        <v>1:04:01 AM</v>
        <stp/>
        <stp>BDP|4844106829692464532|22</stp>
        <stp>USDSEK BGN Curncy</stp>
        <stp>BID_ASK_TIME</stp>
        <tr r="I98" s="1"/>
      </tp>
      <tp t="s">
        <v>1:04:01 AM</v>
        <stp/>
        <stp>BDP|7823873334323856737|22</stp>
        <stp>AUDSEK BGN Curncy</stp>
        <stp>BID_ASK_TIME</stp>
        <tr r="I19" s="1"/>
      </tp>
      <tp t="s">
        <v>1:03:35 AM</v>
        <stp/>
        <stp>BDP|10687696419212658321|22</stp>
        <stp>XAGSGD CMPN Curncy</stp>
        <stp>BID_ASK_TIME</stp>
        <tr r="I104" s="1"/>
      </tp>
      <tp t="s">
        <v>#N/A N/A</v>
        <stp/>
        <stp>BDP|14777220999417054843</stp>
        <tr r="D129" s="1"/>
      </tp>
      <tp t="s">
        <v>#N/A Requesting Data...3029981049</v>
        <stp/>
        <stp>BDP|17481475331614868480</stp>
        <tr r="E139" s="1"/>
      </tp>
      <tp t="s">
        <v>#N/A Requesting Data...2429359499</v>
        <stp/>
        <stp>BDP|11083060312497041764</stp>
        <tr r="E140" s="1"/>
      </tp>
      <tp t="s">
        <v>1:04:02 AM</v>
        <stp/>
        <stp>BDP|8387571615883252404|22</stp>
        <stp>GBPRUB BGN Curncy</stp>
        <stp>BID_ASK_TIME</stp>
        <tr r="I62" s="1"/>
      </tp>
      <tp t="s">
        <v>1:04:02 AM</v>
        <stp/>
        <stp>BDP|7399548766342001503|22</stp>
        <stp>EURSGD BGN Curncy</stp>
        <stp>BID_ASK_TIME</stp>
        <tr r="I50" s="1"/>
      </tp>
      <tp t="s">
        <v>1:04:01 AM</v>
        <stp/>
        <stp>BDP|9981453621884621239|22</stp>
        <stp>EURZAR BGN Curncy</stp>
        <stp>BID_ASK_TIME</stp>
        <tr r="I53" s="1"/>
      </tp>
      <tp t="s">
        <v>1:04:01 AM</v>
        <stp/>
        <stp>BDP|8645999627326061999|22</stp>
        <stp>GBPSGD BGN Curncy</stp>
        <stp>BID_ASK_TIME</stp>
        <tr r="I64" s="1"/>
      </tp>
      <tp t="s">
        <v>#N/A Requesting Data...2928977331</v>
        <stp/>
        <stp>BDP|15723547206978096941</stp>
        <tr r="D156" s="1"/>
        <tr r="E156" s="1"/>
        <tr r="F156" s="1"/>
      </tp>
      <tp>
        <v>1.3687</v>
        <stp/>
        <stp>BDP|417991313608165717|22</stp>
        <stp>USDSGD BGN Curncy</stp>
        <stp>ASK</stp>
        <tr r="E99" s="1"/>
      </tp>
      <tp t="s">
        <v>1:04:01 AM</v>
        <stp/>
        <stp>BDP|7425827330596376910|22</stp>
        <stp>EURRUB BGN Curncy</stp>
        <stp>BID_ASK_TIME</stp>
        <tr r="I48" s="1"/>
      </tp>
      <tp t="s">
        <v>1:04:02 AM</v>
        <stp/>
        <stp>BDP|7799698268711456543|22</stp>
        <stp>XAUUSD BGN Curncy</stp>
        <stp>BID_ASK_TIME</stp>
        <tr r="I108" s="1"/>
      </tp>
      <tp t="s">
        <v>#N/A Requesting Data...3509584005</v>
        <stp/>
        <stp>BDP|12527894803094604855</stp>
        <tr r="D147" s="1"/>
        <tr r="E147" s="1"/>
        <tr r="F147" s="1"/>
      </tp>
      <tp t="s">
        <v>#N/A Requesting Data...2952244123</v>
        <stp/>
        <stp>BDP|11798062206264135377</stp>
        <tr r="D139" s="1"/>
      </tp>
      <tp t="s">
        <v>1:04:01 AM</v>
        <stp/>
        <stp>BDP|5275271361535169401|22</stp>
        <stp>USDPLN BGN Curncy</stp>
        <stp>BID_ASK_TIME</stp>
        <tr r="I96" s="1"/>
      </tp>
      <tp t="s">
        <v>1:04:01 AM</v>
        <stp/>
        <stp>BDP|9010764321280933713|22</stp>
        <stp>CADSEK BGN Curncy</stp>
        <stp>BID_ASK_TIME</stp>
        <tr r="I25" s="1"/>
      </tp>
      <tp t="s">
        <v>1:04:01 AM</v>
        <stp/>
        <stp>BDP|3075499796101480836|22</stp>
        <stp>XAGUSD BGN Curncy</stp>
        <stp>BID_ASK_TIME</stp>
        <tr r="I105" s="1"/>
      </tp>
      <tp t="s">
        <v>#N/A Requesting Data...3374227719</v>
        <stp/>
        <stp>BDP|14528355007579492987</stp>
        <tr r="D135" s="1"/>
      </tp>
      <tp t="s">
        <v>#N/A N/A</v>
        <stp/>
        <stp>BDP|15907102404062632115</stp>
        <tr r="D128" s="1"/>
      </tp>
      <tp t="s">
        <v>1:04:01 AM</v>
        <stp/>
        <stp>BDP|9134171626794125274|22</stp>
        <stp>GBPTRY BGN Curncy</stp>
        <stp>BID_ASK_TIME</stp>
        <tr r="I65" s="1"/>
      </tp>
      <tp t="s">
        <v>#N/A N/A</v>
        <stp/>
        <stp>BDP|12505191175402684214</stp>
        <tr r="E119" s="1"/>
      </tp>
      <tp t="s">
        <v>#N/A Requesting Data...3574059106</v>
        <stp/>
        <stp>BDP|11951862991343500631</stp>
        <tr r="E131" s="1"/>
      </tp>
      <tp t="s">
        <v>#N/A Requesting Data...3816012757</v>
        <stp/>
        <stp>BDP|17303646348317294770</stp>
        <tr r="D152" s="1"/>
        <tr r="E152" s="1"/>
        <tr r="F152" s="1"/>
      </tp>
      <tp t="s">
        <v>2:29:59 PM</v>
        <stp/>
        <stp>BDP|3537384931123844450|22</stp>
        <stp>usdkrw BGN Curncy</stp>
        <stp>BID_ASK_TIME</stp>
        <tr r="I140" s="1"/>
        <tr r="I143" s="1"/>
        <tr r="I134" s="1"/>
        <tr r="I135" s="1"/>
      </tp>
    </main>
    <main first="bofaddin.rtdserver">
      <tp>
        <v>7.1058000000000003</v>
        <stp/>
        <stp>BDP|10063359586782784111|22</stp>
        <stp>ZARJPY BGN Curncy</stp>
        <stp>BID</stp>
        <tr r="D112" s="1"/>
      </tp>
      <tp>
        <v>83.335400000000007</v>
        <stp/>
        <stp>BDP|17106875113026243116|22</stp>
        <stp>EURRUB BGN Curncy</stp>
        <stp>ASK</stp>
        <tr r="E48" s="1"/>
      </tp>
      <tp t="s">
        <v>2:29:59 PM</v>
        <stp/>
        <stp>BDP|10700915418831440480|22</stp>
        <stp>USDKRW BGN Curncy</stp>
        <stp>TIME</stp>
        <tr r="I91" s="1"/>
      </tp>
      <tp>
        <v>7.1452</v>
        <stp/>
        <stp>BDP|10829735646431741834|22</stp>
        <stp>CHFDKK  BGN Curncy</stp>
        <stp>BID</stp>
        <tr r="D27" s="1"/>
      </tp>
      <tp t="s">
        <v>1:04:01 AM</v>
        <stp/>
        <stp>BDP|10284318030728602524|22</stp>
        <stp>USDZAR BGN Curncy</stp>
        <stp>BID_ASK_TIME</stp>
        <tr r="I103" s="1"/>
        <tr r="I123" s="1"/>
      </tp>
      <tp>
        <v>11246.2</v>
        <stp/>
        <stp>BDP|11588452546910484411|22</stp>
        <stp>XAUCNH BGN Curncy</stp>
        <stp>BID</stp>
        <tr r="D106" s="1"/>
      </tp>
      <tp>
        <v>24.099699999999999</v>
        <stp/>
        <stp>BDP|16264175737728628205|22</stp>
        <stp>EURMXN BGN Curncy</stp>
        <stp>BID</stp>
        <tr r="D44" s="1"/>
      </tp>
      <tp>
        <v>24.108000000000001</v>
        <stp/>
        <stp>BDP|11507339733450369816|22</stp>
        <stp>EURMXN BGN Curncy</stp>
        <stp>ASK</stp>
        <tr r="E44" s="1"/>
      </tp>
      <tp>
        <v>1.2251000000000001</v>
        <stp/>
        <stp>BDP|15283054411632750277|22</stp>
        <stp>GBPCHF BGN Curncy</stp>
        <stp>ASK</stp>
        <tr r="E56" s="1"/>
      </tp>
      <tp>
        <v>98.07</v>
        <stp/>
        <stp>BDP|12916605225756034095|22</stp>
        <stp>GBPRUB BGN Curncy</stp>
        <stp>BID</stp>
        <tr r="D62" s="1"/>
      </tp>
      <tp>
        <v>1764.9</v>
        <stp/>
        <stp>BDP|12735465092687428572|22</stp>
        <stp>XAUUSD BGN Curncy</stp>
        <stp>BID</stp>
        <tr r="D108" s="1"/>
      </tp>
      <tp>
        <v>127.93</v>
        <stp/>
        <stp>BDP|14233498168651642813|22</stp>
        <stp>EURJPY BGN Curncy</stp>
        <stp>ASK</stp>
        <tr r="E43" s="1"/>
      </tp>
      <tp t="s">
        <v>3:59:55 PM</v>
        <stp/>
        <stp>BDP|18099150863732950195|22</stp>
        <stp>USDTWD BGN Curncy</stp>
        <stp>BID_ASK_TIME</stp>
        <tr r="I124" s="1"/>
        <tr r="I125" s="1"/>
        <tr r="I128" s="1"/>
      </tp>
      <tp t="s">
        <v>1:04:01 AM</v>
        <stp/>
        <stp>BDP|13703138641599644126|22</stp>
        <stp>XPTUSD BGN Curncy</stp>
        <stp>BID_ASK_TIME</stp>
        <tr r="I111" s="1"/>
      </tp>
      <tp t="s">
        <v>1:04:01 AM</v>
        <stp/>
        <stp>BDP|11663613172873241826|22</stp>
        <stp>USDTHB BGN Curncy</stp>
        <stp>BID_ASK_TIME</stp>
        <tr r="I100" s="1"/>
      </tp>
      <tp>
        <v>18.364699999999999</v>
        <stp/>
        <stp>BDP|18269556525691797729|22</stp>
        <stp>GBPTRY BGN Curncy</stp>
        <stp>ASK</stp>
        <tr r="E65" s="1"/>
      </tp>
      <tp>
        <v>7.2045000000000003</v>
        <stp/>
        <stp>BDP|16032138056245145623|22</stp>
        <stp>EURCNH BGN Curncy</stp>
        <stp>BID</stp>
        <tr r="D37" s="1"/>
      </tp>
      <tp>
        <v>83.311000000000007</v>
        <stp/>
        <stp>BDP|12814673739214786673|22</stp>
        <stp>EURRUB BGN Curncy</stp>
        <stp>BID</stp>
        <tr r="D48" s="1"/>
      </tp>
      <tp>
        <v>7.1462000000000003</v>
        <stp/>
        <stp>BDP|16444745126289149022|22</stp>
        <stp>CHFDKK  BGN Curncy</stp>
        <stp>ASK</stp>
        <tr r="E27" s="1"/>
      </tp>
      <tp t="s">
        <v>3:59:58 PM</v>
        <stp/>
        <stp>BDP|14173341491825206422|22</stp>
        <stp>USDPHP BGN Curncy</stp>
        <stp>BID_ASK_TIME</stp>
        <tr r="I130" s="1"/>
      </tp>
      <tp t="s">
        <v>1:04:02 AM</v>
        <stp/>
        <stp>BDP|12890639583756896901|22</stp>
        <stp>USDSGD BGN Curncy</stp>
        <stp>BID_ASK_TIME</stp>
        <tr r="I99" s="1"/>
      </tp>
      <tp>
        <v>8.7545000000000002</v>
        <stp/>
        <stp>BDP|11702033574084031306|22</stp>
        <stp>GBPDKK BGN Curncy</stp>
        <stp>ASK</stp>
        <tr r="E57" s="1"/>
      </tp>
      <tp>
        <v>15.459899999999999</v>
        <stp/>
        <stp>BDP|15198668503853096544|22</stp>
        <stp>EURTRY BGN Curncy</stp>
        <stp>BID</stp>
        <tr r="D51" s="1"/>
      </tp>
      <tp t="s">
        <v>1:04:01 AM</v>
        <stp/>
        <stp>BDP|8799179303958531491|22</stp>
        <stp>BRL REGN CURNCY</stp>
        <stp>TIME</stp>
        <tr r="I147" s="1"/>
      </tp>
      <tp>
        <v>150.58500000000001</v>
        <stp/>
        <stp>BDP|14776898976640128181|22</stp>
        <stp>GBPJPY BGN Curncy</stp>
        <stp>BID</stp>
        <tr r="D59" s="1"/>
      </tp>
      <tp>
        <v>7.4359999999999999</v>
        <stp/>
        <stp>BDP|17031060311393586316|22</stp>
        <stp>EURDKK BGN Curncy</stp>
        <stp>BID</stp>
        <tr r="D39" s="1"/>
      </tp>
      <tp t="s">
        <v>3:30:25 PM</v>
        <stp/>
        <stp>BDP|251689623512401669|22</stp>
        <stp>MYR BNMK Curncy</stp>
        <stp>TIME</stp>
        <tr r="I152" s="1"/>
      </tp>
      <tp t="s">
        <v>3:59:59 PM</v>
        <stp/>
        <stp>BDP|12427564341596596957|22</stp>
        <stp>USDIDR BGN Curncy</stp>
        <stp>TIME</stp>
        <tr r="I87" s="1"/>
      </tp>
      <tp>
        <v>150.6</v>
        <stp/>
        <stp>BDP|14619066622577708674|22</stp>
        <stp>GBPJPY BGN Curncy</stp>
        <stp>ASK</stp>
        <tr r="E59" s="1"/>
      </tp>
      <tp>
        <v>1.9532</v>
        <stp/>
        <stp>BDP|15288793734993981847|22</stp>
        <stp>GBPNZD BGN Curncy</stp>
        <stp>ASK</stp>
        <tr r="E61" s="1"/>
      </tp>
      <tp t="s">
        <v>1:04:02 AM</v>
        <stp/>
        <stp>BDP|17072954781698441143|22</stp>
        <stp>USDRUB BGN Curncy</stp>
        <stp>BID_ASK_TIME</stp>
        <tr r="I97" s="1"/>
      </tp>
      <tp t="s">
        <v>5:30:00 PM</v>
        <stp/>
        <stp>BDP|9240537696894348881|22</stp>
        <stp>RUB MCDF CURNCY</stp>
        <stp>TIME</stp>
        <tr r="I154" s="1"/>
      </tp>
      <tp>
        <v>1.8744000000000001</v>
        <stp/>
        <stp>BDP|11421436526507962665|22</stp>
        <stp>GBPAUD BGN Curncy</stp>
        <stp>BID</stp>
        <tr r="D54" s="1"/>
      </tp>
      <tp>
        <v>1.44828</v>
        <stp/>
        <stp>BDP|14490721170920840627|22</stp>
        <stp>EURCAD BGN Curncy</stp>
        <stp>BID</stp>
        <tr r="D35" s="1"/>
      </tp>
      <tp>
        <v>12.042400000000001</v>
        <stp/>
        <stp>BDP|15450020300721254898|22</stp>
        <stp>GBPSEK BGN Curncy</stp>
        <stp>ASK</stp>
        <tr r="E63" s="1"/>
      </tp>
      <tp>
        <v>1.5471999999999999</v>
        <stp/>
        <stp>BDP|11255406947138836511|22</stp>
        <stp>EURSGD BGN Curncy</stp>
        <stp>BID</stp>
        <tr r="D50" s="1"/>
      </tp>
      <tp>
        <v>0.84948999999999997</v>
        <stp/>
        <stp>BDP|15119088173324326062|22</stp>
        <stp>EURGBP BGN Curncy</stp>
        <stp>ASK</stp>
        <tr r="E40" s="1"/>
      </tp>
      <tp>
        <v>1.7051000000000001</v>
        <stp/>
        <stp>BDP|14154634337118157690|22</stp>
        <stp>GBPCAD BGN Curncy</stp>
        <stp>ASK</stp>
        <tr r="E55" s="1"/>
      </tp>
      <tp t="s">
        <v>1:02:58 AM</v>
        <stp/>
        <stp>BDP|4343932585768071396|22</stp>
        <stp>SGDJPY CMPN Curncy</stp>
        <stp>BID_ASK_TIME</stp>
        <tr r="I76" s="1"/>
      </tp>
      <tp t="s">
        <v>11:29:25 PM</v>
        <stp/>
        <stp>BDP|10376907941961704812|22</stp>
        <stp>USDCNY BGN Curncy</stp>
        <stp>TIME</stp>
        <tr r="I82" s="1"/>
      </tp>
      <tp>
        <v>8.7529000000000003</v>
        <stp/>
        <stp>BDP|17745100925638787789|22</stp>
        <stp>GBPDKK BGN Curncy</stp>
        <stp>BID</stp>
        <tr r="D57" s="1"/>
      </tp>
      <tp>
        <v>1.04067</v>
        <stp/>
        <stp>BDP|11683406163613129081|22</stp>
        <stp>EURCHF BGN Curncy</stp>
        <stp>ASK</stp>
        <tr r="E36" s="1"/>
      </tp>
      <tp t="s">
        <v>1:04:01 AM</v>
        <stp/>
        <stp>BDP|16922086420871963712|22</stp>
        <stp>GBPZAR BGN Curncy</stp>
        <stp>BID_ASK_TIME</stp>
        <tr r="I67" s="1"/>
      </tp>
      <tp>
        <v>10.228899999999999</v>
        <stp/>
        <stp>BDP|18018100133698630389|22</stp>
        <stp>EURSEK BGN Curncy</stp>
        <stp>ASK</stp>
        <tr r="E49" s="1"/>
      </tp>
      <tp>
        <v>1.8217000000000001</v>
        <stp/>
        <stp>BDP|11973631260831710023|22</stp>
        <stp>GBPSGD BGN Curncy</stp>
        <stp>ASK</stp>
        <tr r="E64" s="1"/>
      </tp>
      <tp>
        <v>1.6589</v>
        <stp/>
        <stp>BDP|14832172205983586210|22</stp>
        <stp>EURNZD BGN Curncy</stp>
        <stp>BID</stp>
        <tr r="D46" s="1"/>
      </tp>
      <tp>
        <v>21.193200000000001</v>
        <stp/>
        <stp>BDP|13412710199738579813|22</stp>
        <stp>GBPZAR BGN Curncy</stp>
        <stp>ASK</stp>
        <tr r="E67" s="1"/>
      </tp>
      <tp>
        <v>1.7049000000000001</v>
        <stp/>
        <stp>BDP|12591279773386257885|22</stp>
        <stp>GBPCAD BGN Curncy</stp>
        <stp>BID</stp>
        <tr r="D55" s="1"/>
      </tp>
      <tp>
        <v>1.0406299999999999</v>
        <stp/>
        <stp>BDP|18324887344330301655|22</stp>
        <stp>EURCHF BGN Curncy</stp>
        <stp>BID</stp>
        <tr r="D36" s="1"/>
      </tp>
      <tp>
        <v>363.87</v>
        <stp/>
        <stp>BDP|17056060655486973635|22</stp>
        <stp>EURHUF BGN Curncy</stp>
        <stp>BID</stp>
        <tr r="D42" s="1"/>
      </tp>
      <tp>
        <v>1.1306</v>
        <stp/>
        <stp>BDP|13313466597469949224|22</stp>
        <stp>EURUSD BGN Curncy</stp>
        <stp>BID</stp>
        <tr r="D52" s="1"/>
      </tp>
      <tp>
        <v>8.8102999999999998</v>
        <stp/>
        <stp>BDP|11049541398007640906|22</stp>
        <stp>EURHKD BGN Curncy</stp>
        <stp>ASK</stp>
        <tr r="E41" s="1"/>
      </tp>
      <tp>
        <v>4.6021000000000001</v>
        <stp/>
        <stp>BDP|15111031509093928599|22</stp>
        <stp>EURPLN BGN Curncy</stp>
        <stp>ASK</stp>
        <tr r="E47" s="1"/>
      </tp>
      <tp>
        <v>8.8094000000000001</v>
        <stp/>
        <stp>BDP|14784466259543302536|22</stp>
        <stp>EURHKD BGN Curncy</stp>
        <stp>BID</stp>
        <tr r="D41" s="1"/>
      </tp>
      <tp>
        <v>7.1111000000000004</v>
        <stp/>
        <stp>BDP|10769605502795875361|22</stp>
        <stp>ZARJPY BGN Curncy</stp>
        <stp>ASK</stp>
        <tr r="E112" s="1"/>
      </tp>
      <tp t="s">
        <v>4:03:43 PM</v>
        <stp/>
        <stp>BDP|18093659327471061714|22</stp>
        <stp>INRRATE INDEX</stp>
        <stp>TIME</stp>
        <tr r="I150" s="1"/>
      </tp>
      <tp>
        <v>1.9528000000000001</v>
        <stp/>
        <stp>BDP|11968614263479298903|22</stp>
        <stp>GBPNZD BGN Curncy</stp>
        <stp>BID</stp>
        <tr r="D61" s="1"/>
      </tp>
      <tp>
        <v>25.448</v>
        <stp/>
        <stp>BDP|10646035119264138267|22</stp>
        <stp>EURCZK BGN Curncy</stp>
        <stp>BID</stp>
        <tr r="D38" s="1"/>
      </tp>
      <tp t="s">
        <v>1:04:01 AM</v>
        <stp/>
        <stp>BDP|14585258727740166182|22</stp>
        <stp>AUDUSD BGN Curncy</stp>
        <stp>BID_ASK_TIME</stp>
        <tr r="I21" s="1"/>
      </tp>
      <tp>
        <v>7.4363000000000001</v>
        <stp/>
        <stp>BDP|13885755316117141224|22</stp>
        <stp>EURDKK BGN Curncy</stp>
        <stp>ASK</stp>
        <tr r="E39" s="1"/>
      </tp>
      <tp t="s">
        <v>1:04:01 AM</v>
        <stp/>
        <stp>BDP|14279327737731476985|22</stp>
        <stp>CADSGD BGN Curncy</stp>
        <stp>BID_ASK_TIME</stp>
        <tr r="I26" s="1"/>
      </tp>
      <tp>
        <v>1.8746</v>
        <stp/>
        <stp>BDP|16793058279014658571|22</stp>
        <stp>GBPAUD BGN Curncy</stp>
        <stp>ASK</stp>
        <tr r="E54" s="1"/>
      </tp>
      <tp t="s">
        <v>1:04:01 AM</v>
        <stp/>
        <stp>BDP|15355045344565367896|22</stp>
        <stp>GBPSEK BGN Curncy</stp>
        <stp>BID_ASK_TIME</stp>
        <tr r="I63" s="1"/>
      </tp>
      <tp t="s">
        <v>2:40:08 PM</v>
        <stp/>
        <stp>BDP|18126575861384719390|22</stp>
        <stp>KOBRUSD INDEX</stp>
        <stp>TIME</stp>
        <tr r="I151" s="1"/>
      </tp>
      <tp t="s">
        <v>1:04:02 AM</v>
        <stp/>
        <stp>BDP|15682041241831469954|22</stp>
        <stp>EURTRY BGN Curncy</stp>
        <stp>BID_ASK_TIME</stp>
        <tr r="I51" s="1"/>
      </tp>
      <tp t="s">
        <v>1:04:01 AM</v>
        <stp/>
        <stp>BDP|17591237325980930866|22</stp>
        <stp>GBPUSD BGN Curncy</stp>
        <stp>BID_ASK_TIME</stp>
        <tr r="I66" s="1"/>
      </tp>
      <tp>
        <v>321.81</v>
        <stp/>
        <stp>BDP|17694771017244500905|22</stp>
        <stp>USDHUF BGN Curncy</stp>
        <stp>BID</stp>
        <tr r="D86" s="1"/>
      </tp>
      <tp t="s">
        <v>1:04:01 AM</v>
        <stp/>
        <stp>BDP|11077436619440201097|22</stp>
        <stp>EURJPY BGN Curncy</stp>
        <stp>BID_ASK_TIME</stp>
        <tr r="I43" s="1"/>
      </tp>
      <tp>
        <v>7.0631000000000004</v>
        <stp/>
        <stp>BDP|13307405914192214952|22</stp>
        <stp>CADSEK BGN Curncy</stp>
        <stp>ASK</stp>
        <tr r="E25" s="1"/>
      </tp>
      <tp t="s">
        <v>1:04:01 AM</v>
        <stp/>
        <stp>BDP|15908287461196414654|22</stp>
        <stp>CADJPY BGN Curncy</stp>
        <stp>BID_ASK_TIME</stp>
        <tr r="I23" s="1"/>
      </tp>
      <tp>
        <v>1175.9000000000001</v>
        <stp/>
        <stp>BDP|11228166599787468486|22</stp>
        <stp>USDKRW BGN Curncy</stp>
        <stp>ASK</stp>
        <tr r="E91" s="1"/>
      </tp>
      <tp>
        <v>12.450200000000001</v>
        <stp/>
        <stp>BDP|13871167658170875207|22</stp>
        <stp>NOKJPY BGN Curncy</stp>
        <stp>ASK</stp>
        <tr r="E69" s="1"/>
      </tp>
      <tp t="s">
        <v>1:04:01 AM</v>
        <stp/>
        <stp>BDP|12234797757839291574|22</stp>
        <stp>GBPHKD BGN Curncy</stp>
        <stp>BID_ASK_TIME</stp>
        <tr r="I58" s="1"/>
      </tp>
      <tp>
        <v>6.4215</v>
        <stp/>
        <stp>BDP|17616806942148696800|22</stp>
        <stp>AUDSEK BGN Curncy</stp>
        <stp>BID</stp>
        <tr r="D19" s="1"/>
      </tp>
      <tp>
        <v>17.754000000000001</v>
        <stp/>
        <stp>BDP|16685502631341915232|22</stp>
        <stp>CNHJPY BGN Curncy</stp>
        <stp>BID</stp>
        <tr r="D32" s="1"/>
      </tp>
      <tp>
        <v>0.65359999999999996</v>
        <stp/>
        <stp>BDP|15038715381297368511|22</stp>
        <stp>AUDCHF BGN Curncy</stp>
        <stp>ASK</stp>
        <tr r="E16" s="1"/>
      </tp>
      <tp>
        <v>1.4871000000000001</v>
        <stp/>
        <stp>BDP|14146692988369148601|22</stp>
        <stp>CHFSGD BGN Curncy</stp>
        <stp>ASK</stp>
        <tr r="E30" s="1"/>
      </tp>
      <tp>
        <v>15.9123</v>
        <stp/>
        <stp>BDP|13484118364962655176|22</stp>
        <stp>USDZAR BGN Curncy</stp>
        <stp>BID</stp>
        <tr r="D103" s="1"/>
      </tp>
      <tp>
        <v>1.3685</v>
        <stp/>
        <stp>BDP|12892484806260000868|22</stp>
        <stp>USDSGD BGN Curncy</stp>
        <stp>BID</stp>
        <tr r="D99" s="1"/>
      </tp>
      <tp t="s">
        <v>1:04:01 AM</v>
        <stp/>
        <stp>BDP|15716512339085239245|22</stp>
        <stp>DKKNOK BGN Curncy</stp>
        <stp>BID_ASK_TIME</stp>
        <tr r="I33" s="1"/>
      </tp>
      <tp>
        <v>7.7920999999999996</v>
        <stp/>
        <stp>BDP|11969158488746608611|22</stp>
        <stp>USDHKD BGN Curncy</stp>
        <stp>ASK</stp>
        <tr r="E85" s="1"/>
      </tp>
      <tp>
        <v>17.757000000000001</v>
        <stp/>
        <stp>BDP|15421036504904573992|22</stp>
        <stp>CNHJPY BGN Curncy</stp>
        <stp>ASK</stp>
        <tr r="E32" s="1"/>
      </tp>
      <tp>
        <v>9.8262999999999998</v>
        <stp/>
        <stp>BDP|17459834878216469798|22</stp>
        <stp>CHFSEK BGN Curncy</stp>
        <stp>BID</stp>
        <tr r="D29" s="1"/>
      </tp>
      <tp t="s">
        <v>1:04:02 AM</v>
        <stp/>
        <stp>BDP|11950327479443381167|22</stp>
        <stp>USDBRL BGN Curncy</stp>
        <stp>BID_ASK_TIME</stp>
        <tr r="I78" s="1"/>
      </tp>
      <tp t="s">
        <v>3:59:55 PM</v>
        <stp/>
        <stp>BDP|9316114697456517109|22</stp>
        <stp>usdtwd BGN Curncy</stp>
        <stp>BID_ASK_TIME</stp>
        <tr r="I137" s="1"/>
        <tr r="I138" s="1"/>
      </tp>
      <tp>
        <v>1789</v>
        <stp/>
        <stp>BDP|14792913183531113706|22</stp>
        <stp>XPDUSD BGN Curncy</stp>
        <stp>ASK</stp>
        <tr r="E109" s="1"/>
      </tp>
      <tp t="s">
        <v>1:03:30 AM</v>
        <stp/>
        <stp>BDP|17745349332865436009|22</stp>
        <stp>XAUCNH BGN Curncy</stp>
        <stp>BID_ASK_TIME</stp>
        <tr r="I106" s="1"/>
      </tp>
      <tp>
        <v>14404</v>
        <stp/>
        <stp>BDP|12622743892322338074|22</stp>
        <stp>USDIDR BGN Curncy</stp>
        <stp>ASK</stp>
        <tr r="E87" s="1"/>
      </tp>
      <tp>
        <v>13.776999999999999</v>
        <stp/>
        <stp>BDP|12548144005704280733|22</stp>
        <stp>USDTRY BGN Curncy</stp>
        <stp>ASK</stp>
        <tr r="E101" s="1"/>
      </tp>
      <tp>
        <v>0.97189999999999999</v>
        <stp/>
        <stp>BDP|15072173364105297749|22</stp>
        <stp>AUDSGD BGN Curncy</stp>
        <stp>ASK</stp>
        <tr r="E20" s="1"/>
      </tp>
      <tp t="s">
        <v>3:59:58 PM</v>
        <stp/>
        <stp>BDP|15265349961997340805|22</stp>
        <stp>USDPHP BGN Curncy</stp>
        <stp>TIME</stp>
        <tr r="I95" s="1"/>
      </tp>
      <tp>
        <v>0.71860000000000002</v>
        <stp/>
        <stp>BDP|11092304925178617669|22</stp>
        <stp>CADCHF BGN Curncy</stp>
        <stp>ASK</stp>
        <tr r="E22" s="1"/>
      </tp>
      <tp t="s">
        <v>1:04:01 AM</v>
        <stp/>
        <stp>BDP|13553147807332630744|22</stp>
        <stp>EURHUF BGN Curncy</stp>
        <stp>BID_ASK_TIME</stp>
        <tr r="I42" s="1"/>
      </tp>
      <tp t="s">
        <v>1:04:01 AM</v>
        <stp/>
        <stp>BDP|16277709779056238790|22</stp>
        <stp>USDCHF BGN Curncy</stp>
        <stp>BID_ASK_TIME</stp>
        <tr r="I80" s="1"/>
      </tp>
      <tp>
        <v>9.0473999999999997</v>
        <stp/>
        <stp>BDP|13092925520845102855|22</stp>
        <stp>USDSEK BGN Curncy</stp>
        <stp>ASK</stp>
        <tr r="E98" s="1"/>
      </tp>
      <tp>
        <v>21.315999999999999</v>
        <stp/>
        <stp>BDP|15781070982671399342|22</stp>
        <stp>USDMXN BGN Curncy</stp>
        <stp>BID</stp>
        <tr r="D92" s="1"/>
      </tp>
      <tp>
        <v>1175.3399999999999</v>
        <stp/>
        <stp>BDP|11396892299035255749|22</stp>
        <stp>USDKRW BGN Curncy</stp>
        <stp>BID</stp>
        <tr r="D91" s="1"/>
      </tp>
      <tp t="s">
        <v>11:35:10 AM</v>
        <stp/>
        <stp>BDP|8492509443699702587|22</stp>
        <stp>PHFRRATE INDEX</stp>
        <stp>TIME</stp>
        <tr r="I153" s="1"/>
      </tp>
      <tp>
        <v>1.042</v>
        <stp/>
        <stp>BDP|14804558725703672183|22</stp>
        <stp>AUDNZD BGN Curncy</stp>
        <stp>ASK</stp>
        <tr r="E18" s="1"/>
      </tp>
      <tp>
        <v>322.02999999999997</v>
        <stp/>
        <stp>BDP|15552610576135488303|22</stp>
        <stp>USDHUF BGN Curncy</stp>
        <stp>ASK</stp>
        <tr r="E86" s="1"/>
      </tp>
      <tp t="s">
        <v>1:04:01 AM</v>
        <stp/>
        <stp>BDP|14146969832571253050|22</stp>
        <stp>EURCHF BGN Curncy</stp>
        <stp>BID_ASK_TIME</stp>
        <tr r="I36" s="1"/>
      </tp>
      <tp>
        <v>6.3765000000000001</v>
        <stp/>
        <stp>BDP|16145012925534730760|22</stp>
        <stp>USDCNY BGN Curncy</stp>
        <stp>BID</stp>
        <tr r="D82" s="1"/>
      </tp>
      <tp t="s">
        <v>1:04:02 AM</v>
        <stp/>
        <stp>BDP|12829422649074671979|22</stp>
        <stp>EURAUD BGN Curncy</stp>
        <stp>BID_ASK_TIME</stp>
        <tr r="I34" s="1"/>
      </tp>
      <tp>
        <v>6.3722000000000003</v>
        <stp/>
        <stp>BDP|12191043201501110618|22</stp>
        <stp>USDCNH BGN Curncy</stp>
        <stp>BID</stp>
        <tr r="D81" s="1"/>
      </tp>
      <tp>
        <v>14391</v>
        <stp/>
        <stp>BDP|15468428602987646260|22</stp>
        <stp>USDIDR BGN Curncy</stp>
        <stp>BID</stp>
        <tr r="D87" s="1"/>
      </tp>
      <tp>
        <v>4.2314999999999996</v>
        <stp/>
        <stp>BDP|18207864695339130541|22</stp>
        <stp>USDMYR BGN Curncy</stp>
        <stp>BID</stp>
        <tr r="D93" s="1"/>
      </tp>
      <tp t="s">
        <v>1:04:02 AM</v>
        <stp/>
        <stp>BDP|16554352177936740526|22</stp>
        <stp>USDCZK BGN Curncy</stp>
        <stp>BID_ASK_TIME</stp>
        <tr r="I83" s="1"/>
      </tp>
      <tp t="s">
        <v>1:04:01 AM</v>
        <stp/>
        <stp>BDP|16654296778938230485|22</stp>
        <stp>NZDCAD BGN Curncy</stp>
        <stp>BID_ASK_TIME</stp>
        <tr r="I71" s="1"/>
      </tp>
      <tp t="s">
        <v>1:04:01 AM</v>
        <stp/>
        <stp>BDP|14641678927317873359|22</stp>
        <stp>CADNOK BGN Curncy</stp>
        <stp>BID_ASK_TIME</stp>
        <tr r="I24" s="1"/>
      </tp>
      <tp>
        <v>33.875</v>
        <stp/>
        <stp>BDP|10212075863870370912|22</stp>
        <stp>USDTHB BGN Curncy</stp>
        <stp>BID</stp>
        <tr r="D100" s="1"/>
      </tp>
      <tp t="s">
        <v>1:04:01 AM</v>
        <stp/>
        <stp>BDP|4490795290486608323|22</stp>
        <stp>usdzar BGN Curncy</stp>
        <stp>BID_ASK_TIME</stp>
        <tr r="I144" s="1"/>
      </tp>
      <tp t="s">
        <v>1:04:01 AM</v>
        <stp/>
        <stp>BDP|18373899068952275968|22</stp>
        <stp>USDHKD BGN Curncy</stp>
        <stp>BID_ASK_TIME</stp>
        <tr r="I85" s="1"/>
      </tp>
      <tp>
        <v>113.14</v>
        <stp/>
        <stp>BDP|14174141109711754307|22</stp>
        <stp>USDJPY BGN Curncy</stp>
        <stp>BID</stp>
        <tr r="D90" s="1"/>
      </tp>
      <tp t="s">
        <v>1:04:01 AM</v>
        <stp/>
        <stp>BDP|13277982839756312800|22</stp>
        <stp>GBPCAD BGN Curncy</stp>
        <stp>BID_ASK_TIME</stp>
        <tr r="I55" s="1"/>
      </tp>
      <tp>
        <v>77.114999999999995</v>
        <stp/>
        <stp>BDP|17290210942615172980|22</stp>
        <stp>NZDJPY BGN Curncy</stp>
        <stp>ASK</stp>
        <tr r="E73" s="1"/>
      </tp>
      <tp>
        <v>0.65349999999999997</v>
        <stp/>
        <stp>BDP|13974335413935426879|22</stp>
        <stp>AUDCHF BGN Curncy</stp>
        <stp>BID</stp>
        <tr r="D16" s="1"/>
      </tp>
      <tp t="s">
        <v>1:04:01 AM</v>
        <stp/>
        <stp>BDP|18353967637995415465|22</stp>
        <stp>GBPNZD BGN Curncy</stp>
        <stp>BID_ASK_TIME</stp>
        <tr r="I61" s="1"/>
      </tp>
      <tp>
        <v>6.3726000000000003</v>
        <stp/>
        <stp>BDP|15010608211996833108|22</stp>
        <stp>USDCNH BGN Curncy</stp>
        <stp>ASK</stp>
        <tr r="E81" s="1"/>
      </tp>
      <tp>
        <v>122.935</v>
        <stp/>
        <stp>BDP|12468481268762923363|22</stp>
        <stp>CHFJPY BGN Curncy</stp>
        <stp>ASK</stp>
        <tr r="E28" s="1"/>
      </tp>
      <tp>
        <v>7.0603999999999996</v>
        <stp/>
        <stp>BDP|16487609817275960507|22</stp>
        <stp>CADSEK BGN Curncy</stp>
        <stp>BID</stp>
        <tr r="D25" s="1"/>
      </tp>
      <tp>
        <v>4.0677000000000003</v>
        <stp/>
        <stp>BDP|11309193246073146270|22</stp>
        <stp>USDPLN BGN Curncy</stp>
        <stp>BID</stp>
        <tr r="D96" s="1"/>
      </tp>
      <tp t="s">
        <v>1:04:01 AM</v>
        <stp/>
        <stp>BDP|13963937454736149560|22</stp>
        <stp>AUDCAD BGN Curncy</stp>
        <stp>BID_ASK_TIME</stp>
        <tr r="I15" s="1"/>
      </tp>
      <tp>
        <v>9.0909999999999993</v>
        <stp/>
        <stp>BDP|15975618671639500552|22</stp>
        <stp>USDNOK BGN Curncy</stp>
        <stp>ASK</stp>
        <tr r="E94" s="1"/>
      </tp>
      <tp t="s">
        <v>1:04:01 AM</v>
        <stp/>
        <stp>BDP|13508960988925088078|22</stp>
        <stp>EURHKD BGN Curncy</stp>
        <stp>BID_ASK_TIME</stp>
        <tr r="I41" s="1"/>
      </tp>
      <tp>
        <v>1.0685</v>
        <stp/>
        <stp>BDP|12632167877649935447|22</stp>
        <stp>CADSGD BGN Curncy</stp>
        <stp>ASK</stp>
        <tr r="E26" s="1"/>
      </tp>
      <tp>
        <v>7.7916999999999996</v>
        <stp/>
        <stp>BDP|13975522062686375130|22</stp>
        <stp>USDHKD BGN Curncy</stp>
        <stp>BID</stp>
        <tr r="D85" s="1"/>
      </tp>
      <tp>
        <v>77.102000000000004</v>
        <stp/>
        <stp>BDP|94276889165537501|22</stp>
        <stp>NZDJPY BGN Curncy</stp>
        <stp>BID</stp>
        <tr r="D73" s="1"/>
      </tp>
      <tp t="s">
        <v>1:04:02 AM</v>
        <stp/>
        <stp>BDP|14895171976796147543|22</stp>
        <stp>USDJPY BGN Curncy</stp>
        <stp>BID_ASK_TIME</stp>
        <tr r="I90" s="1"/>
      </tp>
      <tp>
        <v>14.519399999999999</v>
        <stp/>
        <stp>BDP|11177441161251801747|22</stp>
        <stp>HKDJPY BGN Curncy</stp>
        <stp>BID</stp>
        <tr r="D68" s="1"/>
      </tp>
      <tp>
        <v>7.0937999999999999</v>
        <stp/>
        <stp>BDP|14546795325305779367|22</stp>
        <stp>CADNOK BGN Curncy</stp>
        <stp>BID</stp>
        <tr r="D24" s="1"/>
      </tp>
      <tp t="s">
        <v>1:04:01 AM</v>
        <stp/>
        <stp>BDP|14709730536522036231|22</stp>
        <stp>USDDKK BGN Curncy</stp>
        <stp>BID_ASK_TIME</stp>
        <tr r="I84" s="1"/>
      </tp>
      <tp t="s">
        <v>3:59:55 PM</v>
        <stp/>
        <stp>BDP|10782989164772293772|22</stp>
        <stp>USDTWD BGN Curncy</stp>
        <stp>TIME</stp>
        <tr r="I102" s="1"/>
      </tp>
      <tp>
        <v>3.1652999999999998</v>
        <stp/>
        <stp>BDP|17996041997804361320|22</stp>
        <stp>USDILS BGN Curncy</stp>
        <stp>ASK</stp>
        <tr r="E88" s="1"/>
      </tp>
      <tp>
        <v>0.68149999999999999</v>
        <stp/>
        <stp>BDP|10038344748706224562|22</stp>
        <stp>NZDUSD BGN Curncy</stp>
        <stp>BID</stp>
        <tr r="D75" s="1"/>
      </tp>
      <tp>
        <v>0.87309999999999999</v>
        <stp/>
        <stp>BDP|10783392875511871884|22</stp>
        <stp>NZDCAD BGN Curncy</stp>
        <stp>ASK</stp>
        <tr r="E71" s="1"/>
      </tp>
      <tp>
        <v>73.711299999999994</v>
        <stp/>
        <stp>BDP|12741921312602298990|22</stp>
        <stp>USDRUB BGN Curncy</stp>
        <stp>ASK</stp>
        <tr r="E97" s="1"/>
      </tp>
      <tp>
        <v>6.5768000000000004</v>
        <stp/>
        <stp>BDP|11807722307077644442|22</stp>
        <stp>USDDKK BGN Curncy</stp>
        <stp>BID</stp>
        <tr r="D84" s="1"/>
      </tp>
      <tp t="s">
        <v>1:04:01 AM</v>
        <stp/>
        <stp>BDP|17803744537574364559|22</stp>
        <stp>HKDJPY BGN Curncy</stp>
        <stp>BID_ASK_TIME</stp>
        <tr r="I68" s="1"/>
      </tp>
      <tp>
        <v>0.87290000000000001</v>
        <stp/>
        <stp>BDP|10430598347326777628|22</stp>
        <stp>NZDCAD BGN Curncy</stp>
        <stp>BID</stp>
        <tr r="D71" s="1"/>
      </tp>
      <tp>
        <v>80.334000000000003</v>
        <stp/>
        <stp>BDP|10310281917901353803|22</stp>
        <stp>AUDJPY BGN Curncy</stp>
        <stp>BID</stp>
        <tr r="D17" s="1"/>
      </tp>
      <tp>
        <v>1.0683</v>
        <stp/>
        <stp>BDP|17709405872765308890|22</stp>
        <stp>CADSGD BGN Curncy</stp>
        <stp>BID</stp>
        <tr r="D26" s="1"/>
      </tp>
      <tp>
        <v>0.62729999999999997</v>
        <stp/>
        <stp>BDP|17784853268679683305|22</stp>
        <stp>NZDCHF BGN Curncy</stp>
        <stp>ASK</stp>
        <tr r="E72" s="1"/>
      </tp>
      <tp>
        <v>14.522</v>
        <stp/>
        <stp>BDP|11617997479211358484|22</stp>
        <stp>HKDJPY BGN Curncy</stp>
        <stp>ASK</stp>
        <tr r="E68" s="1"/>
      </tp>
      <tp t="s">
        <v>1:03:35 AM</v>
        <stp/>
        <stp>BDP|8820739382995733177|22</stp>
        <stp>XAUSGD CMPN Curncy</stp>
        <stp>BID_ASK_TIME</stp>
        <tr r="I107" s="1"/>
      </tp>
      <tp t="s">
        <v>1:04:01 AM</v>
        <stp/>
        <stp>BDP|16753899702463616805|22</stp>
        <stp>NZDJPY BGN Curncy</stp>
        <stp>BID_ASK_TIME</stp>
        <tr r="I73" s="1"/>
      </tp>
      <tp>
        <v>9.8299000000000003</v>
        <stp/>
        <stp>BDP|10041211441731488985|22</stp>
        <stp>CHFSEK BGN Curncy</stp>
        <stp>ASK</stp>
        <tr r="E29" s="1"/>
      </tp>
      <tp>
        <v>22.3583</v>
        <stp/>
        <stp>BDP|15236363085066883940|22</stp>
        <stp>XAGUSD BGN Curncy</stp>
        <stp>ASK</stp>
        <tr r="E105" s="1"/>
      </tp>
      <tp>
        <v>33.901000000000003</v>
        <stp/>
        <stp>BDP|15812201751890667818|22</stp>
        <stp>USDTHB BGN Curncy</stp>
        <stp>ASK</stp>
        <tr r="E100" s="1"/>
      </tp>
      <tp>
        <v>6.5773000000000001</v>
        <stp/>
        <stp>BDP|12936768472253580869|22</stp>
        <stp>USDDKK BGN Curncy</stp>
        <stp>ASK</stp>
        <tr r="E84" s="1"/>
      </tp>
      <tp t="s">
        <v>1:04:02 AM</v>
        <stp/>
        <stp>BDP|12173371188125774118|22</stp>
        <stp>GBPNOK BGN Curncy</stp>
        <stp>BID_ASK_TIME</stp>
        <tr r="I60" s="1"/>
      </tp>
      <tp t="s">
        <v>1:04:02 AM</v>
        <stp/>
        <stp>BDP|14208436844594604791|22</stp>
        <stp>EURDKK BGN Curncy</stp>
        <stp>BID_ASK_TIME</stp>
        <tr r="I39" s="1"/>
      </tp>
      <tp t="s">
        <v>1:04:01 AM</v>
        <stp/>
        <stp>BDP|14326286268732773209|22</stp>
        <stp>GBPJPY BGN Curncy</stp>
        <stp>BID_ASK_TIME</stp>
        <tr r="I59" s="1"/>
      </tp>
      <tp>
        <v>9.0446000000000009</v>
        <stp/>
        <stp>BDP|4269882028278653447|22</stp>
        <stp>USDSEK BGN Curncy</stp>
        <stp>BID</stp>
        <tr r="D98" s="1"/>
      </tp>
      <tp>
        <v>0.93259999999999998</v>
        <stp/>
        <stp>BDP|1583741330556553440|22</stp>
        <stp>NZDSGD BGN Curncy</stp>
        <stp>BID</stp>
        <tr r="D74" s="1"/>
      </tp>
      <tp t="s">
        <v>#N/A Requesting Data...3647711806</v>
        <stp/>
        <stp>BDP|7764217037559884302</stp>
        <tr r="D132" s="1"/>
      </tp>
      <tp>
        <v>0.71009999999999995</v>
        <stp/>
        <stp>BDP|4507650126902545805|22</stp>
        <stp>AUDUSD BGN Curncy</stp>
        <stp>ASK</stp>
        <tr r="E21" s="1"/>
      </tp>
      <tp>
        <v>5.6271000000000004</v>
        <stp/>
        <stp>BDP|4651753510484708547|22</stp>
        <stp>USDBRL BGN Curncy</stp>
        <stp>BID</stp>
        <tr r="D78" s="1"/>
      </tp>
      <tp t="s">
        <v>#N/A N/A</v>
        <stp/>
        <stp>BDP|2618345238859042783</stp>
        <tr r="D121" s="1"/>
      </tp>
      <tp>
        <v>80.34</v>
        <stp/>
        <stp>BDP|7583207267714262223|22</stp>
        <stp>AUDJPY BGN Curncy</stp>
        <stp>ASK</stp>
        <tr r="E17" s="1"/>
      </tp>
      <tp t="s">
        <v>#N/A Requesting Data...3835044801</v>
        <stp/>
        <stp>BDP|5097878001290843053</stp>
        <tr r="E141" s="1"/>
      </tp>
      <tp>
        <v>0.9204</v>
        <stp/>
        <stp>BDP|4208288834603759981|22</stp>
        <stp>USDCHF BGN Curncy</stp>
        <stp>BID</stp>
        <tr r="D80" s="1"/>
      </tp>
      <tp>
        <v>1.0418000000000001</v>
        <stp/>
        <stp>BDP|4367953705146506874|22</stp>
        <stp>AUDNZD BGN Curncy</stp>
        <stp>BID</stp>
        <tr r="D18" s="1"/>
      </tp>
      <tp>
        <v>88.328000000000003</v>
        <stp/>
        <stp>BDP|8281679315858889698|22</stp>
        <stp>CADJPY BGN Curncy</stp>
        <stp>ASK</stp>
        <tr r="E23" s="1"/>
      </tp>
      <tp>
        <v>1.3823000000000001</v>
        <stp/>
        <stp>BDP|4225495062264162769|22</stp>
        <stp>DKKNOK BGN Curncy</stp>
        <stp>ASK</stp>
        <tr r="E33" s="1"/>
      </tp>
      <tp>
        <v>0.90959999999999996</v>
        <stp/>
        <stp>BDP|6302185050644361990|22</stp>
        <stp>AUDCAD BGN Curncy</stp>
        <stp>ASK</stp>
        <tr r="E15" s="1"/>
      </tp>
      <tp t="s">
        <v>#N/A Requesting Data...3922724773</v>
        <stp/>
        <stp>BDP|3801310391190692730</stp>
        <tr r="E135" s="1"/>
      </tp>
      <tp t="s">
        <v>#N/A Requesting Data...4119306247</v>
        <stp/>
        <stp>BDP|9614298728036233157</stp>
        <tr r="E126" s="1"/>
      </tp>
      <tp>
        <v>1.3817999999999999</v>
        <stp/>
        <stp>BDP|3667158914360285883|22</stp>
        <stp>DKKNOK BGN Curncy</stp>
        <stp>BID</stp>
        <tr r="D33" s="1"/>
      </tp>
      <tp t="s">
        <v>#N/A Requesting Data...4289172309</v>
        <stp/>
        <stp>BDP|7929495500855329826</stp>
        <tr r="E132" s="1"/>
      </tp>
      <tp t="s">
        <v>#N/A Requesting Data...3934516315</v>
        <stp/>
        <stp>BDP|3093741298447015554</stp>
        <tr r="D126" s="1"/>
      </tp>
      <tp t="s">
        <v>#N/A Requesting Data...3363953113</v>
        <stp/>
        <stp>BDP|1258486522661247943</stp>
        <tr r="E122" s="1"/>
      </tp>
      <tp>
        <v>0.90949999999999998</v>
        <stp/>
        <stp>BDP|9784362729584240093|22</stp>
        <stp>AUDCAD BGN Curncy</stp>
        <stp>BID</stp>
        <tr r="D15" s="1"/>
      </tp>
      <tp t="s">
        <v>#N/A Requesting Data...3618216193</v>
        <stp/>
        <stp>BDP|9103355577763364134</stp>
        <tr r="E137" s="1"/>
      </tp>
      <tp>
        <v>50.42</v>
        <stp/>
        <stp>BDP|4939528318366132029|22</stp>
        <stp>USDPHP BGN Curncy</stp>
        <stp>ASK</stp>
        <tr r="E95" s="1"/>
      </tp>
      <tp>
        <v>22.348299999999998</v>
        <stp/>
        <stp>BDP|3693739862962092004|22</stp>
        <stp>XAGUSD BGN Curncy</stp>
        <stp>BID</stp>
        <tr r="D105" s="1"/>
      </tp>
      <tp>
        <v>1.2810999999999999</v>
        <stp/>
        <stp>BDP|8774057538842820353|22</stp>
        <stp>USDCAD BGN Curncy</stp>
        <stp>ASK</stp>
        <tr r="E79" s="1"/>
      </tp>
      <tp>
        <v>7.0974000000000004</v>
        <stp/>
        <stp>BDP|3519656763605197459|22</stp>
        <stp>CADNOK BGN Curncy</stp>
        <stp>ASK</stp>
        <tr r="E24" s="1"/>
      </tp>
      <tp t="s">
        <v>#N/A Requesting Data...4120479305</v>
        <stp/>
        <stp>BDP|5119554706499836132</stp>
        <tr r="D150" s="1"/>
        <tr r="E150" s="1"/>
        <tr r="F150" s="1"/>
      </tp>
      <tp>
        <v>0.71840000000000004</v>
        <stp/>
        <stp>BDP|5649276946973654356|22</stp>
        <stp>CADCHF BGN Curncy</stp>
        <stp>BID</stp>
        <tr r="D22" s="1"/>
      </tp>
      <tp>
        <v>122.919</v>
        <stp/>
        <stp>BDP|9734176134282534274|22</stp>
        <stp>CHFJPY BGN Curncy</stp>
        <stp>BID</stp>
        <tr r="D28" s="1"/>
      </tp>
      <tp t="s">
        <v>#N/A Requesting Data...4003762415</v>
        <stp/>
        <stp>BDP|8074635403012218416</stp>
        <tr r="D144" s="1"/>
      </tp>
      <tp>
        <v>0.97170000000000001</v>
        <stp/>
        <stp>BDP|6607504142504850091|22</stp>
        <stp>AUDSGD BGN Curncy</stp>
        <stp>BID</stp>
        <tr r="D20" s="1"/>
      </tp>
      <tp t="s">
        <v>#N/A N/A</v>
        <stp/>
        <stp>BDP|4807011976908054248</stp>
        <tr r="D124" s="1"/>
      </tp>
      <tp>
        <v>0.62719999999999998</v>
        <stp/>
        <stp>BDP|8118932583727115557|22</stp>
        <stp>NZDCHF BGN Curncy</stp>
        <stp>BID</stp>
        <tr r="D72" s="1"/>
      </tp>
      <tp>
        <v>22.505299999999998</v>
        <stp/>
        <stp>BDP|4413837248340209189|22</stp>
        <stp>USDCZK BGN Curncy</stp>
        <stp>BID</stp>
        <tr r="D83" s="1"/>
      </tp>
      <tp>
        <v>27.736000000000001</v>
        <stp/>
        <stp>BDP|5069310025444617340|22</stp>
        <stp>USDTWD BGN Curncy</stp>
        <stp>ASK</stp>
        <tr r="E102" s="1"/>
      </tp>
      <tp>
        <v>74.987499999999997</v>
        <stp/>
        <stp>BDP|5761817491875499865|22</stp>
        <stp>USDINR BGN Curncy</stp>
        <stp>BID</stp>
        <tr r="D89" s="1"/>
      </tp>
      <tp t="s">
        <v>#N/A Requesting Data...3408745197</v>
        <stp/>
        <stp>BDP|5698334877192209996</stp>
        <tr r="E138" s="1"/>
      </tp>
      <tp t="s">
        <v>#N/A Requesting Data...3929745913</v>
        <stp/>
        <stp>BDP|2258005378166422912</stp>
        <tr r="D153" s="1"/>
        <tr r="E153" s="1"/>
        <tr r="F153" s="1"/>
      </tp>
      <tp t="s">
        <v>#N/A Requesting Data...4168697244</v>
        <stp/>
        <stp>BDP|4001930667991000007</stp>
        <tr r="E117" s="1"/>
      </tp>
      <tp>
        <v>1774.88</v>
        <stp/>
        <stp>BDP|1943972760297980205|22</stp>
        <stp>XPDUSD BGN Curncy</stp>
        <stp>BID</stp>
        <tr r="D109" s="1"/>
      </tp>
      <tp t="s">
        <v>#N/A N/A</v>
        <stp/>
        <stp>BDP|7918813474272304142</stp>
        <tr r="D125" s="1"/>
      </tp>
      <tp>
        <v>9.0881000000000007</v>
        <stp/>
        <stp>BDP|9100827497880653953|22</stp>
        <stp>USDNOK BGN Curncy</stp>
        <stp>BID</stp>
        <tr r="D94" s="1"/>
      </tp>
      <tp t="s">
        <v>#N/A Requesting Data...3590041949</v>
        <stp/>
        <stp>BDP|7992657202189144330</stp>
        <tr r="D143" s="1"/>
      </tp>
      <tp t="s">
        <v>#N/A Requesting Data...3635194786</v>
        <stp/>
        <stp>BDP|8210773864365699756</stp>
        <tr r="D151" s="1"/>
        <tr r="E151" s="1"/>
        <tr r="F151" s="1"/>
      </tp>
      <tp>
        <v>4.0702999999999996</v>
        <stp/>
        <stp>BDP|8970186488287932044|22</stp>
        <stp>USDPLN BGN Curncy</stp>
        <stp>ASK</stp>
        <tr r="E96" s="1"/>
      </tp>
      <tp>
        <v>0.68159999999999998</v>
        <stp/>
        <stp>BDP|2255140994264224347|22</stp>
        <stp>NZDUSD BGN Curncy</stp>
        <stp>ASK</stp>
        <tr r="E75" s="1"/>
      </tp>
      <tp t="s">
        <v>#N/A Requesting Data...3970789660</v>
        <stp/>
        <stp>BDP|5687370441391960720</stp>
        <tr r="D142" s="1"/>
      </tp>
      <tp t="s">
        <v>#N/A N/A</v>
        <stp/>
        <stp>BDP|2419108605604946361</stp>
        <tr r="D130" s="1"/>
      </tp>
      <tp t="s">
        <v>#N/A Requesting Data...3940568021</v>
        <stp/>
        <stp>BDP|7914385827634022698</stp>
        <tr r="D137" s="1"/>
      </tp>
      <tp t="s">
        <v>#N/A Requesting Data...3956015176</v>
        <stp/>
        <stp>BDP|9927493414521084998</stp>
        <tr r="D149" s="1"/>
        <tr r="E149" s="1"/>
        <tr r="F149" s="1"/>
      </tp>
      <tp>
        <v>113.15</v>
        <stp/>
        <stp>BDP|2272540381128856358|22</stp>
        <stp>USDJPY BGN Curncy</stp>
        <stp>ASK</stp>
        <tr r="E90" s="1"/>
      </tp>
      <tp>
        <v>50.4</v>
        <stp/>
        <stp>BDP|9885722428245922723|22</stp>
        <stp>USDPHP BGN Curncy</stp>
        <stp>BID</stp>
        <tr r="D95" s="1"/>
      </tp>
      <tp t="s">
        <v>#N/A N/A</v>
        <stp/>
        <stp>BDP|4585340490562878958</stp>
        <tr r="E128" s="1"/>
      </tp>
      <tp t="s">
        <v>#N/A N/A</v>
        <stp/>
        <stp>BDP|5455208977143989674</stp>
        <tr r="E124" s="1"/>
      </tp>
      <tp>
        <v>17.297799999999999</v>
        <stp/>
        <stp>BDP|9299166265991883815|22</stp>
        <stp>CHFZAR BGN Curncy</stp>
        <stp>ASK</stp>
        <tr r="E31" s="1"/>
      </tp>
      <tp t="s">
        <v>#N/A N/A</v>
        <stp/>
        <stp>BDP|1924491637786606510</stp>
        <tr r="E130" s="1"/>
      </tp>
      <tp>
        <v>3.1625000000000001</v>
        <stp/>
        <stp>BDP|2016462404473951425|22</stp>
        <stp>USDILS BGN Curncy</stp>
        <stp>BID</stp>
        <tr r="D88" s="1"/>
      </tp>
      <tp>
        <v>0.99550000000000005</v>
        <stp/>
        <stp>BDP|9024235857082263435|22</stp>
        <stp>NOKSEK BGN Curncy</stp>
        <stp>ASK</stp>
        <tr r="E70" s="1"/>
      </tp>
      <tp>
        <v>6.3776999999999999</v>
        <stp/>
        <stp>BDP|4656377439036988683|22</stp>
        <stp>USDCNY BGN Curncy</stp>
        <stp>ASK</stp>
        <tr r="E82" s="1"/>
      </tp>
      <tp>
        <v>5.6298000000000004</v>
        <stp/>
        <stp>BDP|4943171073966174556|22</stp>
        <stp>USDBRL BGN Curncy</stp>
        <stp>ASK</stp>
        <tr r="E78" s="1"/>
      </tp>
      <tp t="s">
        <v>#N/A Requesting Data...4122553316</v>
        <stp/>
        <stp>BDP|4277084005253387149</stp>
        <tr r="D134" s="1"/>
      </tp>
      <tp t="s">
        <v>#N/A N/A</v>
        <stp/>
        <stp>BDP|1206288519676808247</stp>
        <tr r="E120" s="1"/>
      </tp>
      <tp t="s">
        <v>#N/A N/A</v>
        <stp/>
        <stp>BDP|4735369835715368772</stp>
        <tr r="E129" s="1"/>
      </tp>
      <tp>
        <v>88.317999999999998</v>
        <stp/>
        <stp>BDP|5876504451163312206|22</stp>
        <stp>CADJPY BGN Curncy</stp>
        <stp>BID</stp>
        <tr r="D23" s="1"/>
      </tp>
      <tp t="s">
        <v>#N/A Requesting Data...3878518427</v>
        <stp/>
        <stp>BDP|2759938631227756949</stp>
        <tr r="D122" s="1"/>
      </tp>
      <tp>
        <v>21.3216</v>
        <stp/>
        <stp>BDP|6879505284998276761|22</stp>
        <stp>USDMXN BGN Curncy</stp>
        <stp>ASK</stp>
        <tr r="E92" s="1"/>
      </tp>
      <tp>
        <v>73.691100000000006</v>
        <stp/>
        <stp>BDP|1400277719935203132|22</stp>
        <stp>USDRUB BGN Curncy</stp>
        <stp>BID</stp>
        <tr r="D97" s="1"/>
      </tp>
      <tp>
        <v>1.2808999999999999</v>
        <stp/>
        <stp>BDP|8964965724739109516|22</stp>
        <stp>USDCAD BGN Curncy</stp>
        <stp>BID</stp>
        <tr r="D79" s="1"/>
      </tp>
      <tp t="s">
        <v>#N/A Requesting Data...4255575094</v>
        <stp/>
        <stp>BDP|6080718672894630596</stp>
        <tr r="E123" s="1"/>
      </tp>
      <tp>
        <v>22.52</v>
        <stp/>
        <stp>BDP|3973871171840204621|22</stp>
        <stp>USDCZK BGN Curncy</stp>
        <stp>ASK</stp>
        <tr r="E83" s="1"/>
      </tp>
      <tp>
        <v>0.92049999999999998</v>
        <stp/>
        <stp>BDP|1692592806174357152|22</stp>
        <stp>USDCHF BGN Curncy</stp>
        <stp>ASK</stp>
        <tr r="E80" s="1"/>
      </tp>
      <tp t="s">
        <v>#N/A Requesting Data...3701409597</v>
        <stp/>
        <stp>BDP|3549445461138151985</stp>
        <tr r="D131" s="1"/>
      </tp>
      <tp t="s">
        <v>#N/A Requesting Data...4062294580</v>
        <stp/>
        <stp>BDP|9542688675220843835</stp>
        <tr r="E144" s="1"/>
      </tp>
      <tp t="s">
        <v>#N/A N/A</v>
        <stp/>
        <stp>BDP|1458079821647294476</stp>
        <tr r="D120" s="1"/>
      </tp>
      <tp t="s">
        <v>#N/A Requesting Data...3985981028</v>
        <stp/>
        <stp>BDP|5795043809554959168</stp>
        <tr r="E116" s="1"/>
      </tp>
      <tp>
        <v>1.4866999999999999</v>
        <stp/>
        <stp>BDP|6808550051621448376|22</stp>
        <stp>CHFSGD BGN Curncy</stp>
        <stp>BID</stp>
        <tr r="D30" s="1"/>
      </tp>
      <tp>
        <v>30.5839</v>
        <stp/>
        <stp>BDP|6921168790556600385|22</stp>
        <stp>XAGSGD CMPN CURNCY</stp>
        <stp>BID</stp>
        <tr r="D104" s="1"/>
      </tp>
      <tp t="s">
        <v>#N/A Requesting Data...4067614296</v>
        <stp/>
        <stp>BDP|5840338942635332645</stp>
        <tr r="D133" s="1"/>
      </tp>
      <tp>
        <v>6.4242999999999997</v>
        <stp/>
        <stp>BDP|4195900130343660593|22</stp>
        <stp>AUDSEK BGN Curncy</stp>
        <stp>ASK</stp>
        <tr r="E19" s="1"/>
      </tp>
      <tp t="s">
        <v>#N/A N/A</v>
        <stp/>
        <stp>BDP|5884298861554265411</stp>
        <tr r="D119" s="1"/>
      </tp>
      <tp t="s">
        <v>11:30:00 AM</v>
        <stp/>
        <stp>BDP|16371411177132932210|22</stp>
        <stp>THB ABSI Curncy</stp>
        <stp>TIME</stp>
        <tr r="I155" s="1"/>
      </tp>
      <tp>
        <v>4.2344999999999997</v>
        <stp/>
        <stp>BDP|1608193573567088916|22</stp>
        <stp>USDMYR BGN Curncy</stp>
        <stp>ASK</stp>
        <tr r="E93" s="1"/>
      </tp>
      <tp t="s">
        <v>#N/A N/A</v>
        <stp/>
        <stp>BDP|8047378756585068927</stp>
        <tr r="D127" s="1"/>
      </tp>
      <tp t="s">
        <v>#N/A Requesting Data...3737677697</v>
        <stp/>
        <stp>BDP|4596003437934519142</stp>
        <tr r="E136" s="1"/>
      </tp>
      <tp>
        <v>27.716000000000001</v>
        <stp/>
        <stp>BDP|5998537981179313379|22</stp>
        <stp>USDTWD BGN Curncy</stp>
        <stp>BID</stp>
        <tr r="D102" s="1"/>
      </tp>
      <tp>
        <v>74.995000000000005</v>
        <stp/>
        <stp>BDP|6870200914391051900|22</stp>
        <stp>USDINR BGN Curncy</stp>
        <stp>ASK</stp>
        <tr r="E89" s="1"/>
      </tp>
      <tp>
        <v>0.93289999999999995</v>
        <stp/>
        <stp>BDP|9454117158747159803|22</stp>
        <stp>NZDSGD BGN Curncy</stp>
        <stp>ASK</stp>
        <tr r="E74" s="1"/>
      </tp>
      <tp t="s">
        <v>#N/A Requesting Data...4172637960</v>
        <stp/>
        <stp>BDP|9914099956646889990</stp>
        <tr r="D154" s="1"/>
        <tr r="E154" s="1"/>
        <tr r="F154" s="1"/>
      </tp>
      <tp>
        <v>12.4442</v>
        <stp/>
        <stp>BDP|2159132943239779565|22</stp>
        <stp>NOKJPY BGN Curncy</stp>
        <stp>BID</stp>
        <tr r="D69" s="1"/>
      </tp>
      <tp>
        <v>15.920500000000001</v>
        <stp/>
        <stp>BDP|3263780933293086650|22</stp>
        <stp>USDZAR BGN Curncy</stp>
        <stp>ASK</stp>
        <tr r="E103" s="1"/>
      </tp>
      <tp>
        <v>7.2051999999999996</v>
        <stp/>
        <stp>BDP|9646605657961012746|22</stp>
        <stp>EURCNH BGN Curncy</stp>
        <stp>ASK</stp>
        <tr r="E37" s="1"/>
      </tp>
      <tp>
        <v>2415.2383</v>
        <stp/>
        <stp>BDP|11735613466161708257|22</stp>
        <stp>XAUSGD CMPN Curncy</stp>
        <stp>BID</stp>
        <tr r="D107" s="1"/>
      </tp>
      <tp>
        <v>12.100199999999999</v>
        <stp/>
        <stp>BDP|4939773897530732397|22</stp>
        <stp>GBPNOK BGN Curncy</stp>
        <stp>ASK</stp>
        <tr r="E60" s="1"/>
      </tp>
      <tp>
        <v>1.5922700000000001</v>
        <stp/>
        <stp>BDP|3092508207854941586|22</stp>
        <stp>EURAUD BGN Curncy</stp>
        <stp>BID</stp>
        <tr r="D34" s="1"/>
      </tp>
      <tp>
        <v>936.4</v>
        <stp/>
        <stp>BDP|9263649461789703911|22</stp>
        <stp>XPTUSD BGN Curncy</stp>
        <stp>BID</stp>
        <tr r="D111" s="1"/>
      </tp>
      <tp>
        <v>10.2753</v>
        <stp/>
        <stp>BDP|5099264107174745216|22</stp>
        <stp>EURNOK BGN Curncy</stp>
        <stp>BID</stp>
        <tr r="D45" s="1"/>
      </tp>
      <tp>
        <v>1765.21</v>
        <stp/>
        <stp>BDP|3081321538929124084|22</stp>
        <stp>XAUUSD BGN Curncy</stp>
        <stp>ASK</stp>
        <tr r="E108" s="1"/>
      </tp>
      <tp>
        <v>941.61</v>
        <stp/>
        <stp>BDP|5690170847172167860|22</stp>
        <stp>XPTUSD BGN Curncy</stp>
        <stp>ASK</stp>
        <tr r="E111" s="1"/>
      </tp>
      <tp>
        <v>82.662400000000005</v>
        <stp/>
        <stp>BDP|1426955760005638108|22</stp>
        <stp>SGDJPY CMPN CURNCY</stp>
        <stp>BID</stp>
        <tr r="D76" s="1"/>
      </tp>
      <tp t="s">
        <v>#N/A Requesting Data...4096521826</v>
        <stp/>
        <stp>BDP|91486287415587287</stp>
        <tr r="E143" s="1"/>
      </tp>
      <tp>
        <v>2416.0839999999998</v>
        <stp/>
        <stp>BDP|17014970295749243634|22</stp>
        <stp>XAUSGD CMPN Curncy</stp>
        <stp>ASK</stp>
        <tr r="E107" s="1"/>
      </tp>
      <tp>
        <v>18.0014</v>
        <stp/>
        <stp>BDP|6111691389223988891|22</stp>
        <stp>EURZAR BGN Curncy</stp>
        <stp>ASK</stp>
        <tr r="E53" s="1"/>
      </tp>
      <tp>
        <v>15.607900000000001</v>
        <stp/>
        <stp>BDP|7263080418586186539|22</stp>
        <stp>EURTRY BGN Curncy</stp>
        <stp>ASK</stp>
        <tr r="E51" s="1"/>
      </tp>
      <tp>
        <v>12.037800000000001</v>
        <stp/>
        <stp>BDP|8716883652803731883|22</stp>
        <stp>GBPSEK BGN Curncy</stp>
        <stp>BID</stp>
        <tr r="D63" s="1"/>
      </tp>
      <tp>
        <v>12.0944</v>
        <stp/>
        <stp>BDP|8599317091008440635|22</stp>
        <stp>GBPNOK BGN Curncy</stp>
        <stp>BID</stp>
        <tr r="D60" s="1"/>
      </tp>
      <tp t="s">
        <v>#N/A N/A</v>
        <stp/>
        <stp>BDP|62938661363992332</stp>
        <tr r="E121" s="1"/>
      </tp>
      <tp>
        <v>1.44842</v>
        <stp/>
        <stp>BDP|4222328240542002425|22</stp>
        <stp>EURCAD BGN Curncy</stp>
        <stp>ASK</stp>
        <tr r="E35" s="1"/>
      </tp>
      <tp>
        <v>0.84943999999999997</v>
        <stp/>
        <stp>BDP|9537622641046254653|22</stp>
        <stp>EURGBP BGN Curncy</stp>
        <stp>BID</stp>
        <tr r="D40" s="1"/>
      </tp>
      <tp>
        <v>364.09</v>
        <stp/>
        <stp>BDP|2166301752695777994|22</stp>
        <stp>EURHUF BGN Curncy</stp>
        <stp>ASK</stp>
        <tr r="E42" s="1"/>
      </tp>
      <tp>
        <v>3.6728000000000001</v>
        <stp/>
        <stp>BDP|6886949519911267922|22</stp>
        <stp>USDAED CMPN CURNCY</stp>
        <stp>BID</stp>
        <tr r="D77" s="1"/>
      </tp>
      <tp>
        <v>127.92</v>
        <stp/>
        <stp>BDP|5322079669893597275|22</stp>
        <stp>EURJPY BGN Curncy</stp>
        <stp>BID</stp>
        <tr r="D43" s="1"/>
      </tp>
      <tp>
        <v>18.181000000000001</v>
        <stp/>
        <stp>BDP|1641770714700203990|22</stp>
        <stp>GBPTRY BGN Curncy</stp>
        <stp>BID</stp>
        <tr r="D65" s="1"/>
      </tp>
      <tp>
        <v>1.1307</v>
        <stp/>
        <stp>BDP|6314190778402458598|22</stp>
        <stp>EURUSD BGN Curncy</stp>
        <stp>ASK</stp>
        <tr r="E52" s="1"/>
      </tp>
      <tp>
        <v>1.5475000000000001</v>
        <stp/>
        <stp>BDP|1957852299903884025|22</stp>
        <stp>EURSGD BGN Curncy</stp>
        <stp>ASK</stp>
        <tr r="E50" s="1"/>
      </tp>
      <tp>
        <v>10.371600000000001</v>
        <stp/>
        <stp>BDP|1223309144431917732|22</stp>
        <stp>GBPHKD BGN Curncy</stp>
        <stp>ASK</stp>
        <tr r="E58" s="1"/>
      </tp>
      <tp>
        <v>1.6592</v>
        <stp/>
        <stp>BDP|7759562247691800508|22</stp>
        <stp>EURNZD BGN Curncy</stp>
        <stp>ASK</stp>
        <tr r="E46" s="1"/>
      </tp>
      <tp t="s">
        <v>11:00:02 AM</v>
        <stp/>
        <stp>BDP|12678136033799598434|22</stp>
        <stp>TRY11 INDEX</stp>
        <stp>TIME</stp>
        <tr r="I156" s="1"/>
      </tp>
      <tp>
        <v>4.5990000000000002</v>
        <stp/>
        <stp>BDP|7947482175030988363|22</stp>
        <stp>EURPLN BGN Curncy</stp>
        <stp>BID</stp>
        <tr r="D47" s="1"/>
      </tp>
      <tp>
        <v>1.8213999999999999</v>
        <stp/>
        <stp>BDP|6945102213784801282|22</stp>
        <stp>GBPSGD BGN Curncy</stp>
        <stp>BID</stp>
        <tr r="D64" s="1"/>
      </tp>
      <tp>
        <v>10.278</v>
        <stp/>
        <stp>BDP|9826292429282605650|22</stp>
        <stp>EURNOK BGN Curncy</stp>
        <stp>ASK</stp>
        <tr r="E45" s="1"/>
      </tp>
      <tp>
        <v>10.226100000000001</v>
        <stp/>
        <stp>BDP|9359494013657006318|22</stp>
        <stp>EURSEK BGN Curncy</stp>
        <stp>BID</stp>
        <tr r="D49" s="1"/>
      </tp>
      <tp>
        <v>10.370200000000001</v>
        <stp/>
        <stp>BDP|3364781927172356856|22</stp>
        <stp>GBPHKD BGN Curncy</stp>
        <stp>BID</stp>
        <tr r="D58" s="1"/>
      </tp>
      <tp>
        <v>1.3309</v>
        <stp/>
        <stp>BDP|7827838910960285229|22</stp>
        <stp>GBPUSD BGN Curncy</stp>
        <stp>BID</stp>
        <tr r="D66" s="1"/>
      </tp>
      <tp>
        <v>25.459</v>
        <stp/>
        <stp>BDP|2815975877765380714|22</stp>
        <stp>EURCZK BGN Curncy</stp>
        <stp>ASK</stp>
        <tr r="E38" s="1"/>
      </tp>
      <tp>
        <v>98.114000000000004</v>
        <stp/>
        <stp>BDP|5476868298346428363|22</stp>
        <stp>GBPRUB BGN Curncy</stp>
        <stp>ASK</stp>
        <tr r="E62" s="1"/>
      </tp>
      <tp t="s">
        <v>#N/A Requesting Data...2582605562</v>
        <stp/>
        <stp>BDP|265339555152945091</stp>
        <tr r="D140" s="1"/>
      </tp>
      <tp t="s">
        <v>1:04:02 AM</v>
        <stp/>
        <stp>BDP|859349701382527327|22</stp>
        <stp>NZDSGD BGN Curncy</stp>
        <stp>BID_ASK_TIME</stp>
        <tr r="I74" s="1"/>
      </tp>
      <tp t="s">
        <v>#N/A Requesting Data...3414050627</v>
        <stp/>
        <stp>BDP|175266376907987497</stp>
        <tr r="D116" s="1"/>
      </tp>
      <tp>
        <v>30.602799999999998</v>
        <stp/>
        <stp>BDP|3894865723900946283|22</stp>
        <stp>XAGSGD CMPN Curncy</stp>
        <stp>ASK</stp>
        <tr r="E104" s="1"/>
      </tp>
      <tp t="s">
        <v>1:04:02 AM</v>
        <stp/>
        <stp>BDP|254103942159199048|22</stp>
        <stp>EURSEK BGN Curncy</stp>
        <stp>BID_ASK_TIME</stp>
        <tr r="I49" s="1"/>
      </tp>
      <tp t="s">
        <v>#N/A Requesting Data...3690613731</v>
        <stp/>
        <stp>BDP|510117649868202757</stp>
        <tr r="D141" s="1"/>
      </tp>
      <tp t="s">
        <v>3:59:55 PM</v>
        <stp/>
        <stp>BDP|17061882592119530070|22</stp>
        <stp>twd BGN Curncy</stp>
        <stp>BID_ASK_TIME</stp>
        <tr r="I126" s="1"/>
      </tp>
      <tp t="s">
        <v>1:04:01 AM</v>
        <stp/>
        <stp>BDP|290215892358643481|22</stp>
        <stp>AUDCHF BGN Curncy</stp>
        <stp>BID_ASK_TIME</stp>
        <tr r="I16" s="1"/>
      </tp>
      <tp t="s">
        <v>1:04:01 AM</v>
        <stp/>
        <stp>BDP|162372663062065144|22</stp>
        <stp>USDHUF BGN Curncy</stp>
        <stp>BID_ASK_TIME</stp>
        <tr r="I86" s="1"/>
      </tp>
      <tp>
        <v>82.681799999999996</v>
        <stp/>
        <stp>BDP|9785234360676477014|22</stp>
        <stp>SGDJPY CMPN Curncy</stp>
        <stp>ASK</stp>
        <tr r="E76" s="1"/>
      </tp>
      <tp>
        <v>3.6730999999999998</v>
        <stp/>
        <stp>BDP|2056396167176305983|22</stp>
        <stp>USDAED CMPN Curncy</stp>
        <stp>ASK</stp>
        <tr r="E77" s="1"/>
      </tp>
      <tp t="s">
        <v>9:15:05 AM</v>
        <stp/>
        <stp>BDP|838131472848739317|22</stp>
        <stp>CNYMUSD INDEX</stp>
        <stp>TIME</stp>
        <tr r="I148" s="1"/>
      </tp>
      <tp t="s">
        <v>3:59:59 PM</v>
        <stp/>
        <stp>BDP|272026076710794750|22</stp>
        <stp>USDIDR BGN Curncy</stp>
        <stp>BID_ASK_TIME</stp>
        <tr r="I117" s="1"/>
        <tr r="I121" s="1"/>
        <tr r="I129" s="1"/>
      </tp>
      <tp t="s">
        <v>1:04:01 AM</v>
        <stp/>
        <stp>BDP|479302124030998435|22</stp>
        <stp>EURMXN BGN Curncy</stp>
        <stp>BID_ASK_TIME</stp>
        <tr r="I44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1</xdr:row>
          <xdr:rowOff>180975</xdr:rowOff>
        </xdr:from>
        <xdr:to>
          <xdr:col>2</xdr:col>
          <xdr:colOff>381000</xdr:colOff>
          <xdr:row>4</xdr:row>
          <xdr:rowOff>19050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Settlement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F26" sqref="F26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exportfile">
                <anchor moveWithCells="1" sizeWithCells="1">
                  <from>
                    <xdr:col>1</xdr:col>
                    <xdr:colOff>85725</xdr:colOff>
                    <xdr:row>1</xdr:row>
                    <xdr:rowOff>180975</xdr:rowOff>
                  </from>
                  <to>
                    <xdr:col>2</xdr:col>
                    <xdr:colOff>381000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1"/>
  <sheetViews>
    <sheetView topLeftCell="A13" workbookViewId="0">
      <selection activeCell="L22" sqref="L22"/>
    </sheetView>
  </sheetViews>
  <sheetFormatPr defaultRowHeight="15" x14ac:dyDescent="0.25"/>
  <cols>
    <col min="2" max="2" width="11.140625" customWidth="1"/>
    <col min="3" max="3" width="20.42578125" bestFit="1" customWidth="1"/>
    <col min="4" max="4" width="13.140625" customWidth="1"/>
  </cols>
  <sheetData>
    <row r="1" spans="1:6" x14ac:dyDescent="0.25">
      <c r="A1" s="2"/>
      <c r="B1" s="2"/>
      <c r="C1" s="2"/>
      <c r="D1" s="2"/>
      <c r="E1" s="2"/>
      <c r="F1" s="2"/>
    </row>
    <row r="2" spans="1:6" x14ac:dyDescent="0.25">
      <c r="A2" s="2"/>
      <c r="B2" s="2"/>
      <c r="C2" s="2"/>
      <c r="D2" s="2"/>
      <c r="E2" s="2"/>
      <c r="F2" s="2"/>
    </row>
    <row r="3" spans="1:6" x14ac:dyDescent="0.25">
      <c r="A3" s="3"/>
      <c r="B3" s="3"/>
      <c r="C3" s="4"/>
      <c r="D3" s="5"/>
      <c r="E3" s="5"/>
      <c r="F3" s="3"/>
    </row>
    <row r="4" spans="1:6" x14ac:dyDescent="0.25">
      <c r="A4" s="6"/>
      <c r="B4" s="7"/>
      <c r="C4" s="7"/>
      <c r="D4" s="8"/>
      <c r="E4" s="8"/>
      <c r="F4" s="3"/>
    </row>
    <row r="5" spans="1:6" x14ac:dyDescent="0.25">
      <c r="A5" s="6"/>
      <c r="B5" s="7"/>
      <c r="C5" s="7"/>
      <c r="D5" s="8"/>
      <c r="E5" s="8"/>
      <c r="F5" s="3"/>
    </row>
    <row r="6" spans="1:6" x14ac:dyDescent="0.25">
      <c r="A6" s="6"/>
      <c r="B6" s="7"/>
      <c r="C6" s="7"/>
      <c r="D6" s="8"/>
      <c r="E6" s="8"/>
      <c r="F6" s="3"/>
    </row>
    <row r="7" spans="1:6" x14ac:dyDescent="0.25">
      <c r="A7" s="6"/>
      <c r="B7" s="7"/>
      <c r="C7" s="7"/>
      <c r="D7" s="8"/>
      <c r="E7" s="8"/>
      <c r="F7" s="3"/>
    </row>
    <row r="8" spans="1:6" ht="23.25" x14ac:dyDescent="0.35">
      <c r="A8" s="48"/>
      <c r="B8" s="48"/>
      <c r="C8" s="48"/>
      <c r="D8" s="49"/>
      <c r="E8" s="49"/>
      <c r="F8" s="40"/>
    </row>
    <row r="9" spans="1:6" ht="23.25" x14ac:dyDescent="0.35">
      <c r="A9" s="48" t="s">
        <v>1</v>
      </c>
      <c r="B9" s="48"/>
      <c r="C9" s="50">
        <f ca="1">SETTLEMENT!F10</f>
        <v>44532.544469791668</v>
      </c>
      <c r="D9" s="51"/>
      <c r="E9" s="51"/>
      <c r="F9" s="40"/>
    </row>
    <row r="10" spans="1:6" ht="23.25" x14ac:dyDescent="0.35">
      <c r="A10" s="48"/>
      <c r="B10" s="52"/>
      <c r="C10" s="52"/>
      <c r="D10" s="49"/>
      <c r="E10" s="49"/>
      <c r="F10" s="40"/>
    </row>
    <row r="11" spans="1:6" ht="23.25" x14ac:dyDescent="0.35">
      <c r="A11" s="38"/>
      <c r="B11" s="38"/>
      <c r="C11" s="44"/>
      <c r="D11" s="39"/>
      <c r="E11" s="39"/>
      <c r="F11" s="40"/>
    </row>
    <row r="12" spans="1:6" ht="23.25" x14ac:dyDescent="0.35">
      <c r="A12" s="45"/>
      <c r="B12" s="45"/>
      <c r="C12" s="45"/>
      <c r="D12" s="46"/>
      <c r="E12" s="46"/>
      <c r="F12" s="45"/>
    </row>
    <row r="13" spans="1:6" ht="23.25" x14ac:dyDescent="0.35">
      <c r="A13" s="45"/>
      <c r="B13" s="45"/>
      <c r="C13" s="45"/>
      <c r="D13" s="47"/>
      <c r="E13" s="47"/>
      <c r="F13" s="45"/>
    </row>
    <row r="14" spans="1:6" ht="23.25" x14ac:dyDescent="0.35">
      <c r="A14" s="45"/>
      <c r="B14" s="45"/>
      <c r="C14" s="45"/>
      <c r="D14" s="47"/>
      <c r="E14" s="47"/>
      <c r="F14" s="45"/>
    </row>
    <row r="15" spans="1:6" ht="23.25" x14ac:dyDescent="0.35">
      <c r="A15" s="45"/>
      <c r="B15" s="45"/>
      <c r="C15" s="45"/>
      <c r="D15" s="47"/>
      <c r="E15" s="47"/>
      <c r="F15" s="45"/>
    </row>
    <row r="16" spans="1:6" ht="23.25" x14ac:dyDescent="0.35">
      <c r="A16" s="45"/>
      <c r="B16" s="45"/>
      <c r="C16" s="45"/>
      <c r="D16" s="47"/>
      <c r="E16" s="47"/>
      <c r="F16" s="45"/>
    </row>
    <row r="17" spans="1:6" ht="23.25" x14ac:dyDescent="0.35">
      <c r="A17" s="45"/>
      <c r="B17" s="45"/>
      <c r="C17" s="45"/>
      <c r="D17" s="45"/>
      <c r="E17" s="45"/>
      <c r="F17" s="45"/>
    </row>
    <row r="18" spans="1:6" ht="15.75" x14ac:dyDescent="0.25">
      <c r="A18" s="18" t="s">
        <v>4</v>
      </c>
      <c r="B18" s="19"/>
      <c r="C18" s="21" t="s">
        <v>7</v>
      </c>
      <c r="D18" s="21" t="s">
        <v>8</v>
      </c>
    </row>
    <row r="19" spans="1:6" ht="15.75" x14ac:dyDescent="0.25">
      <c r="A19" s="60">
        <f>SETTLEMENT!B220</f>
        <v>0</v>
      </c>
      <c r="B19" s="61"/>
      <c r="C19" s="62">
        <f>SETTLEMENT!F220</f>
        <v>0</v>
      </c>
      <c r="D19" s="66">
        <f>SETTLEMENT!I220</f>
        <v>0</v>
      </c>
    </row>
    <row r="20" spans="1:6" ht="15.75" x14ac:dyDescent="0.25">
      <c r="A20" s="60">
        <f>SETTLEMENT!B221</f>
        <v>0</v>
      </c>
      <c r="B20" s="63"/>
      <c r="C20" s="62">
        <f>SETTLEMENT!F221</f>
        <v>0</v>
      </c>
      <c r="D20" s="66">
        <f>SETTLEMENT!I221</f>
        <v>0</v>
      </c>
    </row>
    <row r="21" spans="1:6" ht="15.75" x14ac:dyDescent="0.25">
      <c r="A21" s="60">
        <f>SETTLEMENT!B222</f>
        <v>0</v>
      </c>
      <c r="B21" s="63"/>
      <c r="C21" s="62">
        <f>SETTLEMENT!F222</f>
        <v>0</v>
      </c>
      <c r="D21" s="66">
        <f>SETTLEMENT!I222</f>
        <v>0</v>
      </c>
    </row>
    <row r="22" spans="1:6" ht="15.75" x14ac:dyDescent="0.25">
      <c r="A22" s="60">
        <f>SETTLEMENT!B223</f>
        <v>0</v>
      </c>
      <c r="B22" s="63"/>
      <c r="C22" s="62">
        <f>SETTLEMENT!F223</f>
        <v>0</v>
      </c>
      <c r="D22" s="66">
        <f>SETTLEMENT!I223</f>
        <v>0</v>
      </c>
    </row>
    <row r="23" spans="1:6" ht="15.75" x14ac:dyDescent="0.25">
      <c r="A23" s="60">
        <f>SETTLEMENT!B224</f>
        <v>0</v>
      </c>
      <c r="B23" s="63"/>
      <c r="C23" s="62">
        <f>SETTLEMENT!F224</f>
        <v>0</v>
      </c>
      <c r="D23" s="66">
        <f>SETTLEMENT!I224</f>
        <v>0</v>
      </c>
    </row>
    <row r="24" spans="1:6" ht="15.75" x14ac:dyDescent="0.25">
      <c r="A24" s="60">
        <f>SETTLEMENT!B225</f>
        <v>0</v>
      </c>
      <c r="B24" s="63"/>
      <c r="C24" s="62">
        <f>SETTLEMENT!F225</f>
        <v>0</v>
      </c>
      <c r="D24" s="66">
        <f>SETTLEMENT!I225</f>
        <v>0</v>
      </c>
    </row>
    <row r="25" spans="1:6" ht="15.75" x14ac:dyDescent="0.25">
      <c r="A25" s="60">
        <f>SETTLEMENT!B226</f>
        <v>0</v>
      </c>
      <c r="B25" s="63"/>
      <c r="C25" s="62">
        <f>SETTLEMENT!F226</f>
        <v>0</v>
      </c>
      <c r="D25" s="66">
        <f>SETTLEMENT!I226</f>
        <v>0</v>
      </c>
    </row>
    <row r="26" spans="1:6" ht="15.75" x14ac:dyDescent="0.25">
      <c r="A26" s="60">
        <f>SETTLEMENT!B227</f>
        <v>0</v>
      </c>
      <c r="B26" s="63"/>
      <c r="C26" s="64">
        <f>SETTLEMENT!F227</f>
        <v>0</v>
      </c>
      <c r="D26" s="66">
        <f>SETTLEMENT!I227</f>
        <v>0</v>
      </c>
    </row>
    <row r="27" spans="1:6" ht="15.75" x14ac:dyDescent="0.25">
      <c r="A27" s="60">
        <f>SETTLEMENT!B228</f>
        <v>0</v>
      </c>
      <c r="B27" s="63"/>
      <c r="C27" s="64">
        <f>SETTLEMENT!F228</f>
        <v>0</v>
      </c>
      <c r="D27" s="66">
        <f>SETTLEMENT!I228</f>
        <v>0</v>
      </c>
    </row>
    <row r="28" spans="1:6" ht="15.75" x14ac:dyDescent="0.25">
      <c r="A28" s="60">
        <f>SETTLEMENT!B229</f>
        <v>0</v>
      </c>
      <c r="B28" s="63"/>
      <c r="C28" s="64">
        <f>SETTLEMENT!F229</f>
        <v>0</v>
      </c>
      <c r="D28" s="66">
        <f>SETTLEMENT!I229</f>
        <v>0</v>
      </c>
    </row>
    <row r="29" spans="1:6" ht="15.75" x14ac:dyDescent="0.25">
      <c r="A29" s="60">
        <f>SETTLEMENT!B230</f>
        <v>0</v>
      </c>
      <c r="B29" s="63"/>
      <c r="C29" s="64">
        <f>SETTLEMENT!F230</f>
        <v>0</v>
      </c>
      <c r="D29" s="66">
        <f>SETTLEMENT!I230</f>
        <v>0</v>
      </c>
    </row>
    <row r="30" spans="1:6" ht="15.75" x14ac:dyDescent="0.25">
      <c r="A30" s="60">
        <f>SETTLEMENT!B231</f>
        <v>0</v>
      </c>
      <c r="B30" s="63"/>
      <c r="C30" s="64">
        <f>SETTLEMENT!F231</f>
        <v>0</v>
      </c>
      <c r="D30" s="66">
        <f>SETTLEMENT!I231</f>
        <v>0</v>
      </c>
    </row>
    <row r="31" spans="1:6" ht="15.75" x14ac:dyDescent="0.25">
      <c r="A31" s="60">
        <f>SETTLEMENT!B232</f>
        <v>0</v>
      </c>
      <c r="B31" s="63"/>
      <c r="C31" s="64">
        <f>SETTLEMENT!F232</f>
        <v>0</v>
      </c>
      <c r="D31" s="66">
        <f>SETTLEMENT!I232</f>
        <v>0</v>
      </c>
    </row>
    <row r="32" spans="1:6" ht="15.75" x14ac:dyDescent="0.25">
      <c r="A32" s="60">
        <f>SETTLEMENT!B233</f>
        <v>0</v>
      </c>
      <c r="B32" s="63"/>
      <c r="C32" s="64">
        <f>SETTLEMENT!F233</f>
        <v>0</v>
      </c>
      <c r="D32" s="66">
        <f>SETTLEMENT!I233</f>
        <v>0</v>
      </c>
    </row>
    <row r="33" spans="1:4" ht="15.75" x14ac:dyDescent="0.25">
      <c r="A33" s="60">
        <f>SETTLEMENT!B234</f>
        <v>0</v>
      </c>
      <c r="B33" s="63"/>
      <c r="C33" s="64">
        <f>SETTLEMENT!F234</f>
        <v>0</v>
      </c>
      <c r="D33" s="66">
        <f>SETTLEMENT!I234</f>
        <v>0</v>
      </c>
    </row>
    <row r="34" spans="1:4" ht="15.75" x14ac:dyDescent="0.25">
      <c r="A34" s="60">
        <f>SETTLEMENT!B235</f>
        <v>0</v>
      </c>
      <c r="B34" s="63"/>
      <c r="C34" s="64">
        <f>SETTLEMENT!F235</f>
        <v>0</v>
      </c>
      <c r="D34" s="66">
        <f>SETTLEMENT!I235</f>
        <v>0</v>
      </c>
    </row>
    <row r="35" spans="1:4" ht="15.75" x14ac:dyDescent="0.25">
      <c r="A35" s="60">
        <f>SETTLEMENT!B236</f>
        <v>0</v>
      </c>
      <c r="B35" s="63"/>
      <c r="C35" s="64">
        <f>SETTLEMENT!F236</f>
        <v>0</v>
      </c>
      <c r="D35" s="66">
        <f>SETTLEMENT!I236</f>
        <v>0</v>
      </c>
    </row>
    <row r="36" spans="1:4" ht="15.75" x14ac:dyDescent="0.25">
      <c r="A36" s="60">
        <f>SETTLEMENT!B237</f>
        <v>0</v>
      </c>
      <c r="B36" s="63"/>
      <c r="C36" s="64">
        <f>SETTLEMENT!F237</f>
        <v>0</v>
      </c>
      <c r="D36" s="66">
        <f>SETTLEMENT!I237</f>
        <v>0</v>
      </c>
    </row>
    <row r="37" spans="1:4" ht="15.75" x14ac:dyDescent="0.25">
      <c r="A37" s="60">
        <f>SETTLEMENT!B238</f>
        <v>0</v>
      </c>
      <c r="B37" s="63"/>
      <c r="C37" s="64">
        <f>SETTLEMENT!F238</f>
        <v>0</v>
      </c>
      <c r="D37" s="66">
        <f>SETTLEMENT!I238</f>
        <v>0</v>
      </c>
    </row>
    <row r="38" spans="1:4" ht="15.75" x14ac:dyDescent="0.25">
      <c r="A38" s="60">
        <f>SETTLEMENT!B239</f>
        <v>0</v>
      </c>
      <c r="B38" s="63"/>
      <c r="C38" s="64">
        <f>SETTLEMENT!F239</f>
        <v>0</v>
      </c>
      <c r="D38" s="66">
        <f>SETTLEMENT!I239</f>
        <v>0</v>
      </c>
    </row>
    <row r="39" spans="1:4" ht="15.75" x14ac:dyDescent="0.25">
      <c r="A39" s="60">
        <f>SETTLEMENT!B240</f>
        <v>0</v>
      </c>
      <c r="B39" s="63"/>
      <c r="C39" s="64">
        <f>SETTLEMENT!F240</f>
        <v>0</v>
      </c>
      <c r="D39" s="66">
        <f>SETTLEMENT!I240</f>
        <v>0</v>
      </c>
    </row>
    <row r="40" spans="1:4" ht="15.75" x14ac:dyDescent="0.25">
      <c r="A40" s="60">
        <f>SETTLEMENT!B241</f>
        <v>0</v>
      </c>
      <c r="B40" s="63"/>
      <c r="C40" s="64">
        <f>SETTLEMENT!F241</f>
        <v>0</v>
      </c>
      <c r="D40" s="66">
        <f>SETTLEMENT!I241</f>
        <v>0</v>
      </c>
    </row>
    <row r="41" spans="1:4" ht="15.75" x14ac:dyDescent="0.25">
      <c r="A41" s="60">
        <f>SETTLEMENT!B242</f>
        <v>0</v>
      </c>
      <c r="B41" s="63"/>
      <c r="C41" s="64">
        <f>SETTLEMENT!F242</f>
        <v>0</v>
      </c>
      <c r="D41" s="66">
        <f>SETTLEMENT!I242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244"/>
  <sheetViews>
    <sheetView tabSelected="1" topLeftCell="A108" zoomScale="70" zoomScaleNormal="70" workbookViewId="0">
      <selection activeCell="A128" sqref="A128:XFD128"/>
    </sheetView>
  </sheetViews>
  <sheetFormatPr defaultRowHeight="18.75" x14ac:dyDescent="0.3"/>
  <cols>
    <col min="1" max="1" width="9.140625" style="56"/>
    <col min="2" max="2" width="11.140625" style="56" customWidth="1"/>
    <col min="3" max="3" width="9.140625" style="56"/>
    <col min="4" max="4" width="17.5703125" style="56" customWidth="1"/>
    <col min="5" max="5" width="23.140625" style="56" customWidth="1"/>
    <col min="6" max="6" width="20.42578125" style="56" bestFit="1" customWidth="1"/>
    <col min="7" max="8" width="0" style="56" hidden="1" customWidth="1"/>
    <col min="9" max="9" width="14" style="56" customWidth="1"/>
    <col min="10" max="10" width="12.140625" style="72" bestFit="1" customWidth="1"/>
    <col min="11" max="11" width="10.85546875" style="55" bestFit="1" customWidth="1"/>
    <col min="12" max="16384" width="9.140625" style="55"/>
  </cols>
  <sheetData>
    <row r="1" spans="1:10" x14ac:dyDescent="0.3">
      <c r="A1" s="1" t="s">
        <v>0</v>
      </c>
      <c r="B1" s="2"/>
      <c r="C1" s="2"/>
      <c r="D1" s="2"/>
      <c r="E1" s="2"/>
      <c r="F1" s="2"/>
      <c r="G1" s="2"/>
      <c r="H1" s="2"/>
      <c r="I1" s="2"/>
    </row>
    <row r="2" spans="1:10" x14ac:dyDescent="0.3">
      <c r="A2" s="1"/>
      <c r="B2" s="2"/>
      <c r="C2" s="2"/>
      <c r="D2" s="2"/>
      <c r="E2" s="2"/>
      <c r="F2" s="2"/>
      <c r="G2" s="2"/>
      <c r="H2" s="2"/>
      <c r="I2" s="2"/>
    </row>
    <row r="3" spans="1:10" x14ac:dyDescent="0.3">
      <c r="A3" s="1"/>
      <c r="B3" s="2"/>
      <c r="C3" s="2"/>
      <c r="D3" s="2"/>
      <c r="E3" s="2"/>
      <c r="F3" s="2"/>
      <c r="G3" s="2"/>
      <c r="H3" s="2"/>
      <c r="I3" s="2"/>
    </row>
    <row r="4" spans="1:10" x14ac:dyDescent="0.3">
      <c r="A4" s="1"/>
      <c r="B4" s="2"/>
      <c r="C4" s="2"/>
      <c r="D4" s="2"/>
      <c r="E4" s="2"/>
      <c r="F4" s="2"/>
      <c r="G4" s="2"/>
      <c r="H4" s="2"/>
      <c r="I4" s="2"/>
    </row>
    <row r="5" spans="1:10" x14ac:dyDescent="0.3">
      <c r="A5" s="1"/>
      <c r="B5" s="3"/>
      <c r="C5" s="3"/>
      <c r="D5" s="4"/>
      <c r="E5" s="5"/>
      <c r="F5" s="5"/>
      <c r="G5" s="5"/>
      <c r="H5" s="5"/>
      <c r="I5" s="3"/>
    </row>
    <row r="6" spans="1:10" x14ac:dyDescent="0.3">
      <c r="A6" s="1"/>
      <c r="B6" s="6"/>
      <c r="C6" s="7"/>
      <c r="D6" s="7"/>
      <c r="E6" s="8"/>
      <c r="F6" s="8"/>
      <c r="G6" s="8"/>
      <c r="H6" s="8"/>
      <c r="I6" s="3"/>
    </row>
    <row r="7" spans="1:10" x14ac:dyDescent="0.3">
      <c r="A7" s="1"/>
      <c r="B7" s="6"/>
      <c r="C7" s="7"/>
      <c r="D7" s="7"/>
      <c r="E7" s="8"/>
      <c r="F7" s="8"/>
      <c r="G7" s="8"/>
      <c r="H7" s="8"/>
      <c r="I7" s="3"/>
    </row>
    <row r="8" spans="1:10" x14ac:dyDescent="0.3">
      <c r="A8" s="1"/>
      <c r="B8" s="6"/>
      <c r="C8" s="7"/>
      <c r="D8" s="7"/>
      <c r="E8" s="8"/>
      <c r="F8" s="8"/>
      <c r="G8" s="8"/>
      <c r="H8" s="8"/>
      <c r="I8" s="3"/>
    </row>
    <row r="9" spans="1:10" x14ac:dyDescent="0.3">
      <c r="A9" s="1"/>
      <c r="B9" s="9"/>
      <c r="C9" s="10"/>
      <c r="D9" s="10"/>
      <c r="E9" s="11"/>
      <c r="F9" s="11"/>
      <c r="G9" s="11"/>
      <c r="H9" s="11"/>
      <c r="I9" s="3"/>
    </row>
    <row r="10" spans="1:10" x14ac:dyDescent="0.3">
      <c r="A10" s="1"/>
      <c r="B10" s="10"/>
      <c r="C10" s="12"/>
      <c r="D10" s="1"/>
      <c r="E10" s="13"/>
      <c r="F10" s="14">
        <f ca="1">NOW()-12/24</f>
        <v>44532.544469791668</v>
      </c>
      <c r="G10" s="12"/>
      <c r="H10" s="12"/>
      <c r="I10" s="14"/>
    </row>
    <row r="11" spans="1:10" x14ac:dyDescent="0.3">
      <c r="A11" s="1"/>
      <c r="B11" s="10"/>
      <c r="C11" s="15"/>
      <c r="D11" s="15"/>
      <c r="E11" s="11"/>
      <c r="F11" s="11" t="s">
        <v>2</v>
      </c>
      <c r="G11" s="11"/>
      <c r="H11" s="11"/>
      <c r="I11" s="3"/>
    </row>
    <row r="12" spans="1:10" x14ac:dyDescent="0.3">
      <c r="A12" s="1"/>
      <c r="B12" s="10"/>
      <c r="C12" s="10"/>
      <c r="D12" s="16"/>
      <c r="E12" s="11"/>
      <c r="F12" s="11"/>
      <c r="G12" s="11"/>
      <c r="H12" s="11"/>
      <c r="I12" s="3"/>
    </row>
    <row r="13" spans="1:10" x14ac:dyDescent="0.3">
      <c r="A13" s="1"/>
      <c r="B13" s="2"/>
      <c r="C13" s="2"/>
      <c r="D13" s="2"/>
      <c r="E13" s="17" t="s">
        <v>3</v>
      </c>
      <c r="F13" s="17"/>
      <c r="G13" s="17"/>
      <c r="H13" s="17"/>
      <c r="I13" s="2"/>
    </row>
    <row r="14" spans="1:10" x14ac:dyDescent="0.3">
      <c r="A14" s="1"/>
      <c r="B14" s="18" t="s">
        <v>4</v>
      </c>
      <c r="C14" s="19"/>
      <c r="D14" s="20" t="s">
        <v>5</v>
      </c>
      <c r="E14" s="21" t="s">
        <v>6</v>
      </c>
      <c r="F14" s="21" t="s">
        <v>7</v>
      </c>
      <c r="G14" s="21"/>
      <c r="H14" s="21"/>
      <c r="I14" s="21" t="s">
        <v>8</v>
      </c>
    </row>
    <row r="15" spans="1:10" x14ac:dyDescent="0.3">
      <c r="A15" s="1"/>
      <c r="B15" s="22" t="s">
        <v>9</v>
      </c>
      <c r="C15" s="23"/>
      <c r="D15" s="24">
        <f>_xll.BDP(CONCATENATE($B15," BGN Curncy"),D$14)</f>
        <v>0.90949999999999998</v>
      </c>
      <c r="E15" s="24">
        <f>_xll.BDP(CONCATENATE($B15," BGN Curncy"),E$14)</f>
        <v>0.90959999999999996</v>
      </c>
      <c r="F15" s="59">
        <f t="shared" ref="F15:F48" si="0">(D15+E15)/2</f>
        <v>0.90954999999999997</v>
      </c>
      <c r="G15" s="25"/>
      <c r="H15" s="25"/>
      <c r="I15" s="65">
        <f>TIMEVALUE(_xll.BDP(CONCATENATE($B15," BGN Curncy"),"BID_ASK_TIME"))</f>
        <v>4.445601851851852E-2</v>
      </c>
    </row>
    <row r="16" spans="1:10" x14ac:dyDescent="0.3">
      <c r="A16" s="1"/>
      <c r="B16" s="26" t="s">
        <v>10</v>
      </c>
      <c r="C16" s="27"/>
      <c r="D16" s="24">
        <f>_xll.BDP(CONCATENATE($B16," BGN Curncy"),D$14)</f>
        <v>0.65349999999999997</v>
      </c>
      <c r="E16" s="24">
        <f>_xll.BDP(CONCATENATE($B16," BGN Curncy"),E$14)</f>
        <v>0.65359999999999996</v>
      </c>
      <c r="F16" s="59">
        <f t="shared" si="0"/>
        <v>0.65354999999999996</v>
      </c>
      <c r="G16" s="25"/>
      <c r="H16" s="25"/>
      <c r="I16" s="65">
        <f>TIMEVALUE(_xll.BDP(CONCATENATE($B16," BGN Curncy"),"BID_ASK_TIME"))</f>
        <v>4.445601851851852E-2</v>
      </c>
      <c r="J16" s="73"/>
    </row>
    <row r="17" spans="1:10" x14ac:dyDescent="0.3">
      <c r="A17" s="1"/>
      <c r="B17" s="28" t="s">
        <v>49</v>
      </c>
      <c r="C17" s="29"/>
      <c r="D17" s="57">
        <f>_xll.BDP(CONCATENATE($B17," BGN Curncy"),D$14)</f>
        <v>80.334000000000003</v>
      </c>
      <c r="E17" s="57">
        <f>_xll.BDP(CONCATENATE($B17," BGN Curncy"),E$14)</f>
        <v>80.34</v>
      </c>
      <c r="F17" s="59">
        <f t="shared" si="0"/>
        <v>80.337000000000003</v>
      </c>
      <c r="G17" s="25"/>
      <c r="H17" s="25"/>
      <c r="I17" s="65">
        <f>TIMEVALUE(_xll.BDP(CONCATENATE($B17," BGN Curncy"),"BID_ASK_TIME"))</f>
        <v>4.445601851851852E-2</v>
      </c>
      <c r="J17" s="73"/>
    </row>
    <row r="18" spans="1:10" x14ac:dyDescent="0.3">
      <c r="A18" s="1"/>
      <c r="B18" s="26" t="s">
        <v>11</v>
      </c>
      <c r="C18" s="27"/>
      <c r="D18" s="24">
        <f>_xll.BDP(CONCATENATE($B18," BGN Curncy"),D$14)</f>
        <v>1.0418000000000001</v>
      </c>
      <c r="E18" s="24">
        <f>_xll.BDP(CONCATENATE($B18," BGN Curncy"),E$14)</f>
        <v>1.042</v>
      </c>
      <c r="F18" s="59">
        <f t="shared" si="0"/>
        <v>1.0419</v>
      </c>
      <c r="G18" s="25"/>
      <c r="H18" s="25"/>
      <c r="I18" s="65">
        <f>TIMEVALUE(_xll.BDP(CONCATENATE($B18," BGN Curncy"),"BID_ASK_TIME"))</f>
        <v>4.445601851851852E-2</v>
      </c>
      <c r="J18" s="73"/>
    </row>
    <row r="19" spans="1:10" x14ac:dyDescent="0.3">
      <c r="A19" s="1"/>
      <c r="B19" s="26" t="s">
        <v>69</v>
      </c>
      <c r="C19" s="27"/>
      <c r="D19" s="24">
        <f>_xll.BDP(CONCATENATE($B19," BGN Curncy"),D$14)</f>
        <v>6.4215</v>
      </c>
      <c r="E19" s="24">
        <f>_xll.BDP(CONCATENATE($B19," BGN Curncy"),E$14)</f>
        <v>6.4242999999999997</v>
      </c>
      <c r="F19" s="59">
        <f t="shared" si="0"/>
        <v>6.4229000000000003</v>
      </c>
      <c r="G19" s="25"/>
      <c r="H19" s="25"/>
      <c r="I19" s="65">
        <f>TIMEVALUE(_xll.BDP(CONCATENATE($B19," BGN Curncy"),"BID_ASK_TIME"))</f>
        <v>4.445601851851852E-2</v>
      </c>
      <c r="J19" s="73"/>
    </row>
    <row r="20" spans="1:10" x14ac:dyDescent="0.3">
      <c r="A20" s="1"/>
      <c r="B20" s="28" t="s">
        <v>12</v>
      </c>
      <c r="C20" s="29"/>
      <c r="D20" s="24">
        <f>_xll.BDP(CONCATENATE($B20," BGN Curncy"),D$14)</f>
        <v>0.97170000000000001</v>
      </c>
      <c r="E20" s="24">
        <f>_xll.BDP(CONCATENATE($B20," BGN Curncy"),E$14)</f>
        <v>0.97189999999999999</v>
      </c>
      <c r="F20" s="59">
        <f t="shared" si="0"/>
        <v>0.9718</v>
      </c>
      <c r="G20" s="25"/>
      <c r="H20" s="25"/>
      <c r="I20" s="65">
        <f>TIMEVALUE(_xll.BDP(CONCATENATE($B20," BGN Curncy"),"BID_ASK_TIME"))</f>
        <v>4.445601851851852E-2</v>
      </c>
      <c r="J20" s="73"/>
    </row>
    <row r="21" spans="1:10" x14ac:dyDescent="0.3">
      <c r="A21" s="1"/>
      <c r="B21" s="28" t="s">
        <v>58</v>
      </c>
      <c r="C21" s="29"/>
      <c r="D21" s="24">
        <f>_xll.BDP(CONCATENATE($B21," BGN Curncy"),D$14)</f>
        <v>0.71</v>
      </c>
      <c r="E21" s="24">
        <f>_xll.BDP(CONCATENATE($B21," BGN Curncy"),E$14)</f>
        <v>0.71009999999999995</v>
      </c>
      <c r="F21" s="59">
        <f t="shared" si="0"/>
        <v>0.71004999999999996</v>
      </c>
      <c r="G21" s="25"/>
      <c r="H21" s="25"/>
      <c r="I21" s="65">
        <f>TIMEVALUE(_xll.BDP(CONCATENATE($B21," BGN Curncy"),"BID_ASK_TIME"))</f>
        <v>4.445601851851852E-2</v>
      </c>
      <c r="J21" s="73"/>
    </row>
    <row r="22" spans="1:10" x14ac:dyDescent="0.3">
      <c r="A22" s="1"/>
      <c r="B22" s="26" t="s">
        <v>70</v>
      </c>
      <c r="C22" s="27"/>
      <c r="D22" s="24">
        <f>_xll.BDP(CONCATENATE($B22," BGN Curncy"),D$14)</f>
        <v>0.71840000000000004</v>
      </c>
      <c r="E22" s="24">
        <f>_xll.BDP(CONCATENATE($B22," BGN Curncy"),E$14)</f>
        <v>0.71860000000000002</v>
      </c>
      <c r="F22" s="59">
        <f t="shared" si="0"/>
        <v>0.71850000000000003</v>
      </c>
      <c r="G22" s="25"/>
      <c r="H22" s="25"/>
      <c r="I22" s="65">
        <f>TIMEVALUE(_xll.BDP(CONCATENATE($B22," BGN Curncy"),"BID_ASK_TIME"))</f>
        <v>4.4467592592592593E-2</v>
      </c>
      <c r="J22" s="73"/>
    </row>
    <row r="23" spans="1:10" x14ac:dyDescent="0.3">
      <c r="A23" s="1"/>
      <c r="B23" s="26" t="s">
        <v>53</v>
      </c>
      <c r="C23" s="27"/>
      <c r="D23" s="57">
        <f>_xll.BDP(CONCATENATE($B23," BGN Curncy"),D$14)</f>
        <v>88.317999999999998</v>
      </c>
      <c r="E23" s="57">
        <f>_xll.BDP(CONCATENATE($B23," BGN Curncy"),E$14)</f>
        <v>88.328000000000003</v>
      </c>
      <c r="F23" s="59">
        <f t="shared" si="0"/>
        <v>88.323000000000008</v>
      </c>
      <c r="G23" s="25"/>
      <c r="H23" s="25"/>
      <c r="I23" s="65">
        <f>TIMEVALUE(_xll.BDP(CONCATENATE($B23," BGN Curncy"),"BID_ASK_TIME"))</f>
        <v>4.445601851851852E-2</v>
      </c>
      <c r="J23" s="73"/>
    </row>
    <row r="24" spans="1:10" x14ac:dyDescent="0.3">
      <c r="A24" s="1"/>
      <c r="B24" s="30" t="s">
        <v>71</v>
      </c>
      <c r="C24" s="31"/>
      <c r="D24" s="24">
        <f>_xll.BDP(CONCATENATE($B24," BGN Curncy"),D$14)</f>
        <v>7.0937999999999999</v>
      </c>
      <c r="E24" s="24">
        <f>_xll.BDP(CONCATENATE($B24," BGN Curncy"),E$14)</f>
        <v>7.0974000000000004</v>
      </c>
      <c r="F24" s="59">
        <f t="shared" si="0"/>
        <v>7.0956000000000001</v>
      </c>
      <c r="G24" s="25"/>
      <c r="H24" s="25"/>
      <c r="I24" s="65">
        <f>TIMEVALUE(_xll.BDP(CONCATENATE($B24," BGN Curncy"),"BID_ASK_TIME"))</f>
        <v>4.445601851851852E-2</v>
      </c>
      <c r="J24" s="73"/>
    </row>
    <row r="25" spans="1:10" x14ac:dyDescent="0.3">
      <c r="A25" s="1"/>
      <c r="B25" s="26" t="s">
        <v>72</v>
      </c>
      <c r="C25" s="27"/>
      <c r="D25" s="24">
        <f>_xll.BDP(CONCATENATE($B25," BGN Curncy"),D$14)</f>
        <v>7.0603999999999996</v>
      </c>
      <c r="E25" s="24">
        <f>_xll.BDP(CONCATENATE($B25," BGN Curncy"),E$14)</f>
        <v>7.0631000000000004</v>
      </c>
      <c r="F25" s="59">
        <f t="shared" si="0"/>
        <v>7.06175</v>
      </c>
      <c r="G25" s="25"/>
      <c r="H25" s="25"/>
      <c r="I25" s="65">
        <f>TIMEVALUE(_xll.BDP(CONCATENATE($B25," BGN Curncy"),"BID_ASK_TIME"))</f>
        <v>4.445601851851852E-2</v>
      </c>
      <c r="J25" s="73"/>
    </row>
    <row r="26" spans="1:10" x14ac:dyDescent="0.3">
      <c r="A26" s="1"/>
      <c r="B26" s="28" t="s">
        <v>13</v>
      </c>
      <c r="C26" s="29"/>
      <c r="D26" s="24">
        <f>_xll.BDP(CONCATENATE($B26," BGN Curncy"),D$14)</f>
        <v>1.0683</v>
      </c>
      <c r="E26" s="24">
        <f>_xll.BDP(CONCATENATE($B26," BGN Curncy"),E$14)</f>
        <v>1.0685</v>
      </c>
      <c r="F26" s="59">
        <f t="shared" si="0"/>
        <v>1.0684</v>
      </c>
      <c r="G26" s="25"/>
      <c r="H26" s="25"/>
      <c r="I26" s="65">
        <f>TIMEVALUE(_xll.BDP(CONCATENATE($B26," BGN Curncy"),"BID_ASK_TIME"))</f>
        <v>4.445601851851852E-2</v>
      </c>
      <c r="J26" s="73"/>
    </row>
    <row r="27" spans="1:10" x14ac:dyDescent="0.3">
      <c r="A27" s="1"/>
      <c r="B27" s="26" t="s">
        <v>107</v>
      </c>
      <c r="C27" s="27"/>
      <c r="D27" s="24">
        <f>_xll.BDP(CONCATENATE($B27," BGN Curncy"),D$14)</f>
        <v>7.1452</v>
      </c>
      <c r="E27" s="24">
        <f>_xll.BDP(CONCATENATE($B27," BGN Curncy"),E$14)</f>
        <v>7.1462000000000003</v>
      </c>
      <c r="F27" s="59">
        <f t="shared" si="0"/>
        <v>7.1456999999999997</v>
      </c>
      <c r="G27" s="25"/>
      <c r="H27" s="25"/>
      <c r="I27" s="65">
        <f>TIMEVALUE(_xll.BDP(CONCATENATE($B27," BGN Curncy"),"BID_ASK_TIME"))</f>
        <v>4.4467592592592593E-2</v>
      </c>
      <c r="J27" s="73"/>
    </row>
    <row r="28" spans="1:10" x14ac:dyDescent="0.3">
      <c r="A28" s="1"/>
      <c r="B28" s="28" t="s">
        <v>51</v>
      </c>
      <c r="C28" s="29"/>
      <c r="D28" s="57">
        <f>_xll.BDP(CONCATENATE($B28," BGN Curncy"),D$14)</f>
        <v>122.919</v>
      </c>
      <c r="E28" s="57">
        <f>_xll.BDP(CONCATENATE($B28," BGN Curncy"),E$14)</f>
        <v>122.935</v>
      </c>
      <c r="F28" s="59">
        <f t="shared" si="0"/>
        <v>122.92699999999999</v>
      </c>
      <c r="G28" s="25"/>
      <c r="H28" s="25"/>
      <c r="I28" s="65">
        <f>TIMEVALUE(_xll.BDP(CONCATENATE($B28," BGN Curncy"),"BID_ASK_TIME"))</f>
        <v>4.445601851851852E-2</v>
      </c>
      <c r="J28" s="73"/>
    </row>
    <row r="29" spans="1:10" x14ac:dyDescent="0.3">
      <c r="A29" s="1"/>
      <c r="B29" s="26" t="s">
        <v>73</v>
      </c>
      <c r="C29" s="27"/>
      <c r="D29" s="24">
        <f>_xll.BDP(CONCATENATE($B29," BGN Curncy"),D$14)</f>
        <v>9.8262999999999998</v>
      </c>
      <c r="E29" s="24">
        <f>_xll.BDP(CONCATENATE($B29," BGN Curncy"),E$14)</f>
        <v>9.8299000000000003</v>
      </c>
      <c r="F29" s="59">
        <f t="shared" si="0"/>
        <v>9.8280999999999992</v>
      </c>
      <c r="G29" s="25"/>
      <c r="H29" s="25"/>
      <c r="I29" s="65">
        <f>TIMEVALUE(_xll.BDP(CONCATENATE($B29," BGN Curncy"),"BID_ASK_TIME"))</f>
        <v>4.445601851851852E-2</v>
      </c>
      <c r="J29" s="73"/>
    </row>
    <row r="30" spans="1:10" x14ac:dyDescent="0.3">
      <c r="A30" s="1"/>
      <c r="B30" s="28" t="s">
        <v>14</v>
      </c>
      <c r="C30" s="29"/>
      <c r="D30" s="24">
        <f>_xll.BDP(CONCATENATE($B30," BGN Curncy"),D$14)</f>
        <v>1.4866999999999999</v>
      </c>
      <c r="E30" s="24">
        <f>_xll.BDP(CONCATENATE($B30," BGN Curncy"),E$14)</f>
        <v>1.4871000000000001</v>
      </c>
      <c r="F30" s="59">
        <f t="shared" si="0"/>
        <v>1.4868999999999999</v>
      </c>
      <c r="G30" s="25"/>
      <c r="H30" s="25"/>
      <c r="I30" s="65">
        <f>TIMEVALUE(_xll.BDP(CONCATENATE($B30," BGN Curncy"),"BID_ASK_TIME"))</f>
        <v>4.445601851851852E-2</v>
      </c>
      <c r="J30" s="73"/>
    </row>
    <row r="31" spans="1:10" x14ac:dyDescent="0.3">
      <c r="A31" s="1"/>
      <c r="B31" s="26" t="s">
        <v>74</v>
      </c>
      <c r="C31" s="27"/>
      <c r="D31" s="24">
        <f>_xll.BDP(CONCATENATE($B31," BGN Curncy"),D$14)</f>
        <v>17.286999999999999</v>
      </c>
      <c r="E31" s="24">
        <f>_xll.BDP(CONCATENATE($B31," BGN Curncy"),E$14)</f>
        <v>17.297799999999999</v>
      </c>
      <c r="F31" s="59">
        <f t="shared" si="0"/>
        <v>17.292400000000001</v>
      </c>
      <c r="G31" s="25"/>
      <c r="H31" s="25"/>
      <c r="I31" s="65">
        <f>TIMEVALUE(_xll.BDP(CONCATENATE($B31," BGN Curncy"),"BID_ASK_TIME"))</f>
        <v>4.4189814814814814E-2</v>
      </c>
      <c r="J31" s="73"/>
    </row>
    <row r="32" spans="1:10" x14ac:dyDescent="0.3">
      <c r="A32" s="1"/>
      <c r="B32" s="28" t="s">
        <v>67</v>
      </c>
      <c r="C32" s="29"/>
      <c r="D32" s="24">
        <f>_xll.BDP(CONCATENATE($B32," BGN Curncy"),D$14)</f>
        <v>17.754000000000001</v>
      </c>
      <c r="E32" s="24">
        <f>_xll.BDP(CONCATENATE($B32," BGN Curncy"),E$14)</f>
        <v>17.757000000000001</v>
      </c>
      <c r="F32" s="59">
        <f t="shared" si="0"/>
        <v>17.755500000000001</v>
      </c>
      <c r="G32" s="25"/>
      <c r="H32" s="25"/>
      <c r="I32" s="65">
        <f>TIMEVALUE(_xll.BDP(CONCATENATE($B32," BGN Curncy"),"BID_ASK_TIME"))</f>
        <v>4.445601851851852E-2</v>
      </c>
      <c r="J32" s="73"/>
    </row>
    <row r="33" spans="1:10" x14ac:dyDescent="0.3">
      <c r="A33" s="1"/>
      <c r="B33" s="26" t="s">
        <v>75</v>
      </c>
      <c r="C33" s="27"/>
      <c r="D33" s="24">
        <f>_xll.BDP(CONCATENATE($B33," BGN Curncy"),D$14)</f>
        <v>1.3817999999999999</v>
      </c>
      <c r="E33" s="24">
        <f>_xll.BDP(CONCATENATE($B33," BGN Curncy"),E$14)</f>
        <v>1.3823000000000001</v>
      </c>
      <c r="F33" s="59">
        <f t="shared" si="0"/>
        <v>1.38205</v>
      </c>
      <c r="G33" s="25"/>
      <c r="H33" s="25"/>
      <c r="I33" s="65">
        <f>TIMEVALUE(_xll.BDP(CONCATENATE($B33," BGN Curncy"),"BID_ASK_TIME"))</f>
        <v>4.445601851851852E-2</v>
      </c>
      <c r="J33" s="73"/>
    </row>
    <row r="34" spans="1:10" x14ac:dyDescent="0.3">
      <c r="A34" s="1"/>
      <c r="B34" s="26" t="s">
        <v>65</v>
      </c>
      <c r="C34" s="27"/>
      <c r="D34" s="24">
        <f>_xll.BDP(CONCATENATE($B34," BGN Curncy"),D$14)</f>
        <v>1.5922700000000001</v>
      </c>
      <c r="E34" s="24">
        <f>_xll.BDP(CONCATENATE($B34," BGN Curncy"),E$14)</f>
        <v>1.59243</v>
      </c>
      <c r="F34" s="59">
        <f t="shared" si="0"/>
        <v>1.5923500000000002</v>
      </c>
      <c r="G34" s="25"/>
      <c r="H34" s="25"/>
      <c r="I34" s="65">
        <f>TIMEVALUE(_xll.BDP(CONCATENATE($B34," BGN Curncy"),"BID_ASK_TIME"))</f>
        <v>4.4467592592592593E-2</v>
      </c>
      <c r="J34" s="73"/>
    </row>
    <row r="35" spans="1:10" x14ac:dyDescent="0.3">
      <c r="A35" s="1"/>
      <c r="B35" s="28" t="s">
        <v>15</v>
      </c>
      <c r="C35" s="29"/>
      <c r="D35" s="24">
        <f>_xll.BDP(CONCATENATE($B35," BGN Curncy"),D$14)</f>
        <v>1.44828</v>
      </c>
      <c r="E35" s="24">
        <f>_xll.BDP(CONCATENATE($B35," BGN Curncy"),E$14)</f>
        <v>1.44842</v>
      </c>
      <c r="F35" s="59">
        <f t="shared" si="0"/>
        <v>1.44835</v>
      </c>
      <c r="G35" s="25"/>
      <c r="H35" s="25"/>
      <c r="I35" s="65">
        <f>TIMEVALUE(_xll.BDP(CONCATENATE($B35," BGN Curncy"),"BID_ASK_TIME"))</f>
        <v>4.445601851851852E-2</v>
      </c>
      <c r="J35" s="73"/>
    </row>
    <row r="36" spans="1:10" x14ac:dyDescent="0.3">
      <c r="A36" s="1"/>
      <c r="B36" s="26" t="s">
        <v>62</v>
      </c>
      <c r="C36" s="27"/>
      <c r="D36" s="24">
        <f>_xll.BDP(CONCATENATE($B36," BGN Curncy"),D$14)</f>
        <v>1.0406299999999999</v>
      </c>
      <c r="E36" s="24">
        <f>_xll.BDP(CONCATENATE($B36," BGN Curncy"),E$14)</f>
        <v>1.04067</v>
      </c>
      <c r="F36" s="59">
        <f t="shared" si="0"/>
        <v>1.0406499999999999</v>
      </c>
      <c r="G36" s="25"/>
      <c r="H36" s="25"/>
      <c r="I36" s="65">
        <f>TIMEVALUE(_xll.BDP(CONCATENATE($B36," BGN Curncy"),"BID_ASK_TIME"))</f>
        <v>4.445601851851852E-2</v>
      </c>
      <c r="J36" s="73"/>
    </row>
    <row r="37" spans="1:10" x14ac:dyDescent="0.3">
      <c r="A37" s="1"/>
      <c r="B37" s="26" t="s">
        <v>126</v>
      </c>
      <c r="C37" s="27"/>
      <c r="D37" s="24">
        <f>_xll.BDP(CONCATENATE($B37," BGN Curncy"),D$14)</f>
        <v>7.2045000000000003</v>
      </c>
      <c r="E37" s="24">
        <f>_xll.BDP(CONCATENATE($B37," BGN Curncy"),E$14)</f>
        <v>7.2051999999999996</v>
      </c>
      <c r="F37" s="59">
        <f>(D37+E37)/2</f>
        <v>7.2048500000000004</v>
      </c>
      <c r="G37" s="25"/>
      <c r="H37" s="25"/>
      <c r="I37" s="65">
        <f>TIMEVALUE(_xll.BDP(CONCATENATE($B37," BGN Curncy"),"BID_ASK_TIME"))</f>
        <v>4.4467592592592593E-2</v>
      </c>
      <c r="J37" s="73"/>
    </row>
    <row r="38" spans="1:10" x14ac:dyDescent="0.3">
      <c r="A38" s="1"/>
      <c r="B38" s="26" t="s">
        <v>124</v>
      </c>
      <c r="C38" s="27"/>
      <c r="D38" s="24">
        <f>_xll.BDP(CONCATENATE($B38," BGN Curncy"),D$14)</f>
        <v>25.448</v>
      </c>
      <c r="E38" s="24">
        <f>_xll.BDP(CONCATENATE($B38," BGN Curncy"),E$14)</f>
        <v>25.459</v>
      </c>
      <c r="F38" s="59">
        <f>(D38+E38)/2</f>
        <v>25.453499999999998</v>
      </c>
      <c r="G38" s="25"/>
      <c r="H38" s="25"/>
      <c r="I38" s="65">
        <f>TIMEVALUE(_xll.BDP(CONCATENATE($B38," BGN Curncy"),"BID_ASK_TIME"))</f>
        <v>4.445601851851852E-2</v>
      </c>
      <c r="J38" s="73"/>
    </row>
    <row r="39" spans="1:10" x14ac:dyDescent="0.3">
      <c r="A39" s="1"/>
      <c r="B39" s="26" t="s">
        <v>76</v>
      </c>
      <c r="C39" s="27"/>
      <c r="D39" s="24">
        <f>_xll.BDP(CONCATENATE($B39," BGN Curncy"),D$14)</f>
        <v>7.4359999999999999</v>
      </c>
      <c r="E39" s="24">
        <f>_xll.BDP(CONCATENATE($B39," BGN Curncy"),E$14)</f>
        <v>7.4363000000000001</v>
      </c>
      <c r="F39" s="59">
        <f t="shared" si="0"/>
        <v>7.4361499999999996</v>
      </c>
      <c r="G39" s="25"/>
      <c r="H39" s="25"/>
      <c r="I39" s="65">
        <f>TIMEVALUE(_xll.BDP(CONCATENATE($B39," BGN Curncy"),"BID_ASK_TIME"))</f>
        <v>4.4467592592592593E-2</v>
      </c>
      <c r="J39" s="73"/>
    </row>
    <row r="40" spans="1:10" x14ac:dyDescent="0.3">
      <c r="A40" s="1"/>
      <c r="B40" s="28" t="s">
        <v>61</v>
      </c>
      <c r="C40" s="29"/>
      <c r="D40" s="24">
        <f>_xll.BDP(CONCATENATE($B40," BGN Curncy"),D$14)</f>
        <v>0.84943999999999997</v>
      </c>
      <c r="E40" s="24">
        <f>_xll.BDP(CONCATENATE($B40," BGN Curncy"),E$14)</f>
        <v>0.84948999999999997</v>
      </c>
      <c r="F40" s="59">
        <f t="shared" si="0"/>
        <v>0.84946499999999991</v>
      </c>
      <c r="G40" s="25"/>
      <c r="H40" s="25"/>
      <c r="I40" s="65">
        <f>TIMEVALUE(_xll.BDP(CONCATENATE($B40," BGN Curncy"),"BID_ASK_TIME"))</f>
        <v>4.445601851851852E-2</v>
      </c>
      <c r="J40" s="73"/>
    </row>
    <row r="41" spans="1:10" x14ac:dyDescent="0.3">
      <c r="A41" s="1"/>
      <c r="B41" s="28" t="s">
        <v>129</v>
      </c>
      <c r="C41" s="29"/>
      <c r="D41" s="24">
        <f>_xll.BDP(CONCATENATE($B41," BGN Curncy"),D$14)</f>
        <v>8.8094000000000001</v>
      </c>
      <c r="E41" s="24">
        <f>_xll.BDP(CONCATENATE($B41," BGN Curncy"),E$14)</f>
        <v>8.8102999999999998</v>
      </c>
      <c r="F41" s="59">
        <f>(D41+E41)/2</f>
        <v>8.8098500000000008</v>
      </c>
      <c r="G41" s="25"/>
      <c r="H41" s="25"/>
      <c r="I41" s="65">
        <f>TIMEVALUE(_xll.BDP(CONCATENATE($B41," BGN Curncy"),"BID_ASK_TIME"))</f>
        <v>4.445601851851852E-2</v>
      </c>
      <c r="J41" s="73"/>
    </row>
    <row r="42" spans="1:10" x14ac:dyDescent="0.3">
      <c r="A42" s="1"/>
      <c r="B42" s="26" t="s">
        <v>77</v>
      </c>
      <c r="C42" s="27"/>
      <c r="D42" s="57">
        <f>_xll.BDP(CONCATENATE($B42," BGN Curncy"),D$14)</f>
        <v>363.87</v>
      </c>
      <c r="E42" s="57">
        <f>_xll.BDP(CONCATENATE($B42," BGN Curncy"),E$14)</f>
        <v>364.09</v>
      </c>
      <c r="F42" s="59">
        <f t="shared" si="0"/>
        <v>363.98</v>
      </c>
      <c r="G42" s="25"/>
      <c r="H42" s="25"/>
      <c r="I42" s="65">
        <f>TIMEVALUE(_xll.BDP(CONCATENATE($B42," BGN Curncy"),"BID_ASK_TIME"))</f>
        <v>4.445601851851852E-2</v>
      </c>
      <c r="J42" s="73"/>
    </row>
    <row r="43" spans="1:10" x14ac:dyDescent="0.3">
      <c r="A43" s="1"/>
      <c r="B43" s="28" t="s">
        <v>48</v>
      </c>
      <c r="C43" s="29"/>
      <c r="D43" s="57">
        <f>_xll.BDP(CONCATENATE($B43," BGN Curncy"),D$14)</f>
        <v>127.92</v>
      </c>
      <c r="E43" s="57">
        <f>_xll.BDP(CONCATENATE($B43," BGN Curncy"),E$14)</f>
        <v>127.93</v>
      </c>
      <c r="F43" s="59">
        <f t="shared" si="0"/>
        <v>127.92500000000001</v>
      </c>
      <c r="G43" s="25"/>
      <c r="H43" s="25"/>
      <c r="I43" s="65">
        <f>TIMEVALUE(_xll.BDP(CONCATENATE($B43," BGN Curncy"),"BID_ASK_TIME"))</f>
        <v>4.445601851851852E-2</v>
      </c>
      <c r="J43" s="73"/>
    </row>
    <row r="44" spans="1:10" x14ac:dyDescent="0.3">
      <c r="A44" s="1"/>
      <c r="B44" s="26" t="s">
        <v>78</v>
      </c>
      <c r="C44" s="27"/>
      <c r="D44" s="24">
        <f>_xll.BDP(CONCATENATE($B44," BGN Curncy"),D$14)</f>
        <v>24.099699999999999</v>
      </c>
      <c r="E44" s="24">
        <f>_xll.BDP(CONCATENATE($B44," BGN Curncy"),E$14)</f>
        <v>24.108000000000001</v>
      </c>
      <c r="F44" s="59">
        <f t="shared" si="0"/>
        <v>24.103850000000001</v>
      </c>
      <c r="G44" s="25"/>
      <c r="H44" s="25"/>
      <c r="I44" s="65">
        <f>TIMEVALUE(_xll.BDP(CONCATENATE($B44," BGN Curncy"),"BID_ASK_TIME"))</f>
        <v>4.445601851851852E-2</v>
      </c>
      <c r="J44" s="73"/>
    </row>
    <row r="45" spans="1:10" x14ac:dyDescent="0.3">
      <c r="A45" s="1"/>
      <c r="B45" s="28" t="s">
        <v>79</v>
      </c>
      <c r="C45" s="29"/>
      <c r="D45" s="24">
        <f>_xll.BDP(CONCATENATE($B45," BGN Curncy"),D$14)</f>
        <v>10.2753</v>
      </c>
      <c r="E45" s="24">
        <f>_xll.BDP(CONCATENATE($B45," BGN Curncy"),E$14)</f>
        <v>10.278</v>
      </c>
      <c r="F45" s="59">
        <f t="shared" si="0"/>
        <v>10.27665</v>
      </c>
      <c r="G45" s="25"/>
      <c r="H45" s="25"/>
      <c r="I45" s="65">
        <f>TIMEVALUE(_xll.BDP(CONCATENATE($B45," BGN Curncy"),"BID_ASK_TIME"))</f>
        <v>4.4467592592592593E-2</v>
      </c>
      <c r="J45" s="73"/>
    </row>
    <row r="46" spans="1:10" x14ac:dyDescent="0.3">
      <c r="A46" s="1"/>
      <c r="B46" s="26" t="s">
        <v>66</v>
      </c>
      <c r="C46" s="27"/>
      <c r="D46" s="24">
        <f>_xll.BDP(CONCATENATE($B46," BGN Curncy"),D$14)</f>
        <v>1.6589</v>
      </c>
      <c r="E46" s="24">
        <f>_xll.BDP(CONCATENATE($B46," BGN Curncy"),E$14)</f>
        <v>1.6592</v>
      </c>
      <c r="F46" s="59">
        <f t="shared" si="0"/>
        <v>1.6590500000000001</v>
      </c>
      <c r="G46" s="25"/>
      <c r="H46" s="25"/>
      <c r="I46" s="65">
        <f>TIMEVALUE(_xll.BDP(CONCATENATE($B46," BGN Curncy"),"BID_ASK_TIME"))</f>
        <v>4.4467592592592593E-2</v>
      </c>
      <c r="J46" s="73"/>
    </row>
    <row r="47" spans="1:10" x14ac:dyDescent="0.3">
      <c r="A47" s="1"/>
      <c r="B47" s="28" t="s">
        <v>80</v>
      </c>
      <c r="C47" s="29"/>
      <c r="D47" s="24">
        <f>_xll.BDP(CONCATENATE($B47," BGN Curncy"),D$14)</f>
        <v>4.5990000000000002</v>
      </c>
      <c r="E47" s="24">
        <f>_xll.BDP(CONCATENATE($B47," BGN Curncy"),E$14)</f>
        <v>4.6021000000000001</v>
      </c>
      <c r="F47" s="59">
        <f t="shared" si="0"/>
        <v>4.6005500000000001</v>
      </c>
      <c r="G47" s="33"/>
      <c r="H47" s="33"/>
      <c r="I47" s="65">
        <f>TIMEVALUE(_xll.BDP(CONCATENATE($B47," BGN Curncy"),"BID_ASK_TIME"))</f>
        <v>4.445601851851852E-2</v>
      </c>
      <c r="J47" s="73"/>
    </row>
    <row r="48" spans="1:10" x14ac:dyDescent="0.3">
      <c r="A48" s="1"/>
      <c r="B48" s="26" t="s">
        <v>81</v>
      </c>
      <c r="C48" s="27"/>
      <c r="D48" s="24">
        <f>_xll.BDP(CONCATENATE($B48," BGN Curncy"),D$14)</f>
        <v>83.311000000000007</v>
      </c>
      <c r="E48" s="24">
        <f>_xll.BDP(CONCATENATE($B48," BGN Curncy"),E$14)</f>
        <v>83.335400000000007</v>
      </c>
      <c r="F48" s="59">
        <f t="shared" si="0"/>
        <v>83.323200000000014</v>
      </c>
      <c r="G48" s="35"/>
      <c r="H48" s="35"/>
      <c r="I48" s="65">
        <f>TIMEVALUE(_xll.BDP(CONCATENATE($B48," BGN Curncy"),"BID_ASK_TIME"))</f>
        <v>4.445601851851852E-2</v>
      </c>
      <c r="J48" s="73"/>
    </row>
    <row r="49" spans="1:10" x14ac:dyDescent="0.3">
      <c r="A49" s="1"/>
      <c r="B49" s="28" t="s">
        <v>16</v>
      </c>
      <c r="C49" s="29"/>
      <c r="D49" s="24">
        <f>_xll.BDP(CONCATENATE($B49," BGN Curncy"),D$14)</f>
        <v>10.226100000000001</v>
      </c>
      <c r="E49" s="24">
        <f>_xll.BDP(CONCATENATE($B49," BGN Curncy"),E$14)</f>
        <v>10.228899999999999</v>
      </c>
      <c r="F49" s="59">
        <f t="shared" ref="F49:F82" si="1">(D49+E49)/2</f>
        <v>10.227499999999999</v>
      </c>
      <c r="G49" s="25"/>
      <c r="H49" s="25"/>
      <c r="I49" s="65">
        <f>TIMEVALUE(_xll.BDP(CONCATENATE($B49," BGN Curncy"),"BID_ASK_TIME"))</f>
        <v>4.4467592592592593E-2</v>
      </c>
      <c r="J49" s="73"/>
    </row>
    <row r="50" spans="1:10" x14ac:dyDescent="0.3">
      <c r="A50" s="1"/>
      <c r="B50" s="26" t="s">
        <v>17</v>
      </c>
      <c r="C50" s="27"/>
      <c r="D50" s="24">
        <f>_xll.BDP(CONCATENATE($B50," BGN Curncy"),D$14)</f>
        <v>1.5471999999999999</v>
      </c>
      <c r="E50" s="24">
        <f>_xll.BDP(CONCATENATE($B50," BGN Curncy"),E$14)</f>
        <v>1.5475000000000001</v>
      </c>
      <c r="F50" s="59">
        <f t="shared" si="1"/>
        <v>1.54735</v>
      </c>
      <c r="G50" s="25"/>
      <c r="H50" s="25"/>
      <c r="I50" s="65">
        <f>TIMEVALUE(_xll.BDP(CONCATENATE($B50," BGN Curncy"),"BID_ASK_TIME"))</f>
        <v>4.4467592592592593E-2</v>
      </c>
      <c r="J50" s="73"/>
    </row>
    <row r="51" spans="1:10" x14ac:dyDescent="0.3">
      <c r="A51" s="1"/>
      <c r="B51" s="28" t="s">
        <v>19</v>
      </c>
      <c r="C51" s="29"/>
      <c r="D51" s="24">
        <f>_xll.BDP(CONCATENATE($B51," BGN Curncy"),D$14)</f>
        <v>15.459899999999999</v>
      </c>
      <c r="E51" s="24">
        <f>_xll.BDP(CONCATENATE($B51," BGN Curncy"),E$14)</f>
        <v>15.607900000000001</v>
      </c>
      <c r="F51" s="59">
        <f t="shared" si="1"/>
        <v>15.533899999999999</v>
      </c>
      <c r="G51" s="25"/>
      <c r="H51" s="25"/>
      <c r="I51" s="65">
        <f>TIMEVALUE(_xll.BDP(CONCATENATE($B51," BGN Curncy"),"BID_ASK_TIME"))</f>
        <v>4.4467592592592593E-2</v>
      </c>
      <c r="J51" s="73"/>
    </row>
    <row r="52" spans="1:10" x14ac:dyDescent="0.3">
      <c r="A52" s="1"/>
      <c r="B52" s="26" t="s">
        <v>56</v>
      </c>
      <c r="C52" s="27"/>
      <c r="D52" s="24">
        <f>_xll.BDP(CONCATENATE($B52," BGN Curncy"),D$14)</f>
        <v>1.1306</v>
      </c>
      <c r="E52" s="24">
        <f>_xll.BDP(CONCATENATE($B52," BGN Curncy"),E$14)</f>
        <v>1.1307</v>
      </c>
      <c r="F52" s="59">
        <f t="shared" si="1"/>
        <v>1.1306500000000002</v>
      </c>
      <c r="G52" s="25"/>
      <c r="H52" s="25"/>
      <c r="I52" s="65">
        <f>TIMEVALUE(_xll.BDP(CONCATENATE($B52," BGN Curncy"),"BID_ASK_TIME"))</f>
        <v>4.445601851851852E-2</v>
      </c>
      <c r="J52" s="73"/>
    </row>
    <row r="53" spans="1:10" x14ac:dyDescent="0.3">
      <c r="A53" s="1"/>
      <c r="B53" s="28" t="s">
        <v>18</v>
      </c>
      <c r="C53" s="29"/>
      <c r="D53" s="24">
        <f>_xll.BDP(CONCATENATE($B53," BGN Curncy"),D$14)</f>
        <v>17.9909</v>
      </c>
      <c r="E53" s="24">
        <f>_xll.BDP(CONCATENATE($B53," BGN Curncy"),E$14)</f>
        <v>18.0014</v>
      </c>
      <c r="F53" s="59">
        <f t="shared" si="1"/>
        <v>17.99615</v>
      </c>
      <c r="G53" s="35"/>
      <c r="H53" s="35"/>
      <c r="I53" s="65">
        <f>TIMEVALUE(_xll.BDP(CONCATENATE($B53," BGN Curncy"),"BID_ASK_TIME"))</f>
        <v>4.445601851851852E-2</v>
      </c>
      <c r="J53" s="73"/>
    </row>
    <row r="54" spans="1:10" x14ac:dyDescent="0.3">
      <c r="A54" s="1"/>
      <c r="B54" s="26" t="s">
        <v>20</v>
      </c>
      <c r="C54" s="27"/>
      <c r="D54" s="24">
        <f>_xll.BDP(CONCATENATE($B54," BGN Curncy"),D$14)</f>
        <v>1.8744000000000001</v>
      </c>
      <c r="E54" s="24">
        <f>_xll.BDP(CONCATENATE($B54," BGN Curncy"),E$14)</f>
        <v>1.8746</v>
      </c>
      <c r="F54" s="59">
        <f t="shared" si="1"/>
        <v>1.8745000000000001</v>
      </c>
      <c r="G54" s="25"/>
      <c r="H54" s="25"/>
      <c r="I54" s="65">
        <f>TIMEVALUE(_xll.BDP(CONCATENATE($B54," BGN Curncy"),"BID_ASK_TIME"))</f>
        <v>4.4467592592592593E-2</v>
      </c>
      <c r="J54" s="73"/>
    </row>
    <row r="55" spans="1:10" x14ac:dyDescent="0.3">
      <c r="A55" s="1"/>
      <c r="B55" s="26" t="s">
        <v>21</v>
      </c>
      <c r="C55" s="27"/>
      <c r="D55" s="24">
        <f>_xll.BDP(CONCATENATE($B55," BGN Curncy"),D$14)</f>
        <v>1.7049000000000001</v>
      </c>
      <c r="E55" s="24">
        <f>_xll.BDP(CONCATENATE($B55," BGN Curncy"),E$14)</f>
        <v>1.7051000000000001</v>
      </c>
      <c r="F55" s="59">
        <f t="shared" si="1"/>
        <v>1.7050000000000001</v>
      </c>
      <c r="G55" s="35"/>
      <c r="H55" s="35"/>
      <c r="I55" s="65">
        <f>TIMEVALUE(_xll.BDP(CONCATENATE($B55," BGN Curncy"),"BID_ASK_TIME"))</f>
        <v>4.445601851851852E-2</v>
      </c>
      <c r="J55" s="73"/>
    </row>
    <row r="56" spans="1:10" x14ac:dyDescent="0.3">
      <c r="A56" s="1"/>
      <c r="B56" s="67" t="s">
        <v>22</v>
      </c>
      <c r="C56" s="67"/>
      <c r="D56" s="24">
        <f>_xll.BDP(CONCATENATE($B56," BGN Curncy"),D$14)</f>
        <v>1.2250000000000001</v>
      </c>
      <c r="E56" s="24">
        <f>_xll.BDP(CONCATENATE($B56," BGN Curncy"),E$14)</f>
        <v>1.2251000000000001</v>
      </c>
      <c r="F56" s="59">
        <f t="shared" si="1"/>
        <v>1.22505</v>
      </c>
      <c r="G56" s="25"/>
      <c r="H56" s="25"/>
      <c r="I56" s="65">
        <f>TIMEVALUE(_xll.BDP(CONCATENATE($B56," BGN Curncy"),"BID_ASK_TIME"))</f>
        <v>4.4467592592592593E-2</v>
      </c>
      <c r="J56" s="73"/>
    </row>
    <row r="57" spans="1:10" x14ac:dyDescent="0.3">
      <c r="A57" s="1"/>
      <c r="B57" s="67" t="s">
        <v>82</v>
      </c>
      <c r="C57" s="67"/>
      <c r="D57" s="24">
        <f>_xll.BDP(CONCATENATE($B57," BGN Curncy"),D$14)</f>
        <v>8.7529000000000003</v>
      </c>
      <c r="E57" s="24">
        <f>_xll.BDP(CONCATENATE($B57," BGN Curncy"),E$14)</f>
        <v>8.7545000000000002</v>
      </c>
      <c r="F57" s="59">
        <f t="shared" si="1"/>
        <v>8.7537000000000003</v>
      </c>
      <c r="G57" s="25"/>
      <c r="H57" s="25"/>
      <c r="I57" s="65">
        <f>TIMEVALUE(_xll.BDP(CONCATENATE($B57," BGN Curncy"),"BID_ASK_TIME"))</f>
        <v>4.4467592592592593E-2</v>
      </c>
      <c r="J57" s="73"/>
    </row>
    <row r="58" spans="1:10" x14ac:dyDescent="0.3">
      <c r="A58" s="1"/>
      <c r="B58" s="67" t="s">
        <v>127</v>
      </c>
      <c r="C58" s="67"/>
      <c r="D58" s="24">
        <f>_xll.BDP(CONCATENATE($B58," BGN Curncy"),D$14)</f>
        <v>10.370200000000001</v>
      </c>
      <c r="E58" s="24">
        <f>_xll.BDP(CONCATENATE($B58," BGN Curncy"),E$14)</f>
        <v>10.371600000000001</v>
      </c>
      <c r="F58" s="59">
        <f>(D58+E58)/2</f>
        <v>10.370900000000001</v>
      </c>
      <c r="G58" s="25"/>
      <c r="H58" s="25"/>
      <c r="I58" s="65">
        <f>TIMEVALUE(_xll.BDP(CONCATENATE($B58," BGN Curncy"),"BID_ASK_TIME"))</f>
        <v>4.445601851851852E-2</v>
      </c>
      <c r="J58" s="73"/>
    </row>
    <row r="59" spans="1:10" x14ac:dyDescent="0.3">
      <c r="A59" s="1"/>
      <c r="B59" s="67" t="s">
        <v>50</v>
      </c>
      <c r="C59" s="67"/>
      <c r="D59" s="57">
        <f>_xll.BDP(CONCATENATE($B59," BGN Curncy"),D$14)</f>
        <v>150.58500000000001</v>
      </c>
      <c r="E59" s="57">
        <f>_xll.BDP(CONCATENATE($B59," BGN Curncy"),E$14)</f>
        <v>150.6</v>
      </c>
      <c r="F59" s="59">
        <f t="shared" si="1"/>
        <v>150.5925</v>
      </c>
      <c r="G59" s="25"/>
      <c r="H59" s="25"/>
      <c r="I59" s="65">
        <f>TIMEVALUE(_xll.BDP(CONCATENATE($B59," BGN Curncy"),"BID_ASK_TIME"))</f>
        <v>4.445601851851852E-2</v>
      </c>
      <c r="J59" s="73"/>
    </row>
    <row r="60" spans="1:10" x14ac:dyDescent="0.3">
      <c r="A60" s="1"/>
      <c r="B60" s="67" t="s">
        <v>83</v>
      </c>
      <c r="C60" s="67"/>
      <c r="D60" s="24">
        <f>_xll.BDP(CONCATENATE($B60," BGN Curncy"),D$14)</f>
        <v>12.0944</v>
      </c>
      <c r="E60" s="24">
        <f>_xll.BDP(CONCATENATE($B60," BGN Curncy"),E$14)</f>
        <v>12.100199999999999</v>
      </c>
      <c r="F60" s="59">
        <f t="shared" si="1"/>
        <v>12.097300000000001</v>
      </c>
      <c r="G60" s="35"/>
      <c r="H60" s="35"/>
      <c r="I60" s="65">
        <f>TIMEVALUE(_xll.BDP(CONCATENATE($B60," BGN Curncy"),"BID_ASK_TIME"))</f>
        <v>4.4467592592592593E-2</v>
      </c>
      <c r="J60" s="73"/>
    </row>
    <row r="61" spans="1:10" x14ac:dyDescent="0.3">
      <c r="A61" s="1"/>
      <c r="B61" s="67" t="s">
        <v>23</v>
      </c>
      <c r="C61" s="67"/>
      <c r="D61" s="24">
        <f>_xll.BDP(CONCATENATE($B61," BGN Curncy"),D$14)</f>
        <v>1.9528000000000001</v>
      </c>
      <c r="E61" s="24">
        <f>_xll.BDP(CONCATENATE($B61," BGN Curncy"),E$14)</f>
        <v>1.9532</v>
      </c>
      <c r="F61" s="59">
        <f t="shared" si="1"/>
        <v>1.9530000000000001</v>
      </c>
      <c r="G61" s="35"/>
      <c r="H61" s="35"/>
      <c r="I61" s="65">
        <f>TIMEVALUE(_xll.BDP(CONCATENATE($B61," BGN Curncy"),"BID_ASK_TIME"))</f>
        <v>4.445601851851852E-2</v>
      </c>
      <c r="J61" s="73"/>
    </row>
    <row r="62" spans="1:10" x14ac:dyDescent="0.3">
      <c r="A62" s="1"/>
      <c r="B62" s="67" t="s">
        <v>84</v>
      </c>
      <c r="C62" s="67"/>
      <c r="D62" s="24">
        <f>_xll.BDP(CONCATENATE($B62," BGN Curncy"),D$14)</f>
        <v>98.07</v>
      </c>
      <c r="E62" s="24">
        <f>_xll.BDP(CONCATENATE($B62," BGN Curncy"),E$14)</f>
        <v>98.114000000000004</v>
      </c>
      <c r="F62" s="59">
        <f t="shared" si="1"/>
        <v>98.091999999999999</v>
      </c>
      <c r="G62" s="35"/>
      <c r="H62" s="35"/>
      <c r="I62" s="65">
        <f>TIMEVALUE(_xll.BDP(CONCATENATE($B62," BGN Curncy"),"BID_ASK_TIME"))</f>
        <v>4.4467592592592593E-2</v>
      </c>
      <c r="J62" s="73"/>
    </row>
    <row r="63" spans="1:10" x14ac:dyDescent="0.3">
      <c r="A63" s="1"/>
      <c r="B63" s="67" t="s">
        <v>85</v>
      </c>
      <c r="C63" s="67"/>
      <c r="D63" s="24">
        <f>_xll.BDP(CONCATENATE($B63," BGN Curncy"),D$14)</f>
        <v>12.037800000000001</v>
      </c>
      <c r="E63" s="24">
        <f>_xll.BDP(CONCATENATE($B63," BGN Curncy"),E$14)</f>
        <v>12.042400000000001</v>
      </c>
      <c r="F63" s="59">
        <f t="shared" si="1"/>
        <v>12.040100000000001</v>
      </c>
      <c r="G63" s="35"/>
      <c r="H63" s="35"/>
      <c r="I63" s="65">
        <f>TIMEVALUE(_xll.BDP(CONCATENATE($B63," BGN Curncy"),"BID_ASK_TIME"))</f>
        <v>4.445601851851852E-2</v>
      </c>
      <c r="J63" s="73"/>
    </row>
    <row r="64" spans="1:10" x14ac:dyDescent="0.3">
      <c r="A64" s="1"/>
      <c r="B64" s="67" t="s">
        <v>24</v>
      </c>
      <c r="C64" s="67"/>
      <c r="D64" s="24">
        <f>_xll.BDP(CONCATENATE($B64," BGN Curncy"),D$14)</f>
        <v>1.8213999999999999</v>
      </c>
      <c r="E64" s="24">
        <f>_xll.BDP(CONCATENATE($B64," BGN Curncy"),E$14)</f>
        <v>1.8217000000000001</v>
      </c>
      <c r="F64" s="59">
        <f t="shared" si="1"/>
        <v>1.82155</v>
      </c>
      <c r="G64" s="35"/>
      <c r="H64" s="35"/>
      <c r="I64" s="65">
        <f>TIMEVALUE(_xll.BDP(CONCATENATE($B64," BGN Curncy"),"BID_ASK_TIME"))</f>
        <v>4.445601851851852E-2</v>
      </c>
      <c r="J64" s="73"/>
    </row>
    <row r="65" spans="1:10" x14ac:dyDescent="0.3">
      <c r="A65" s="1"/>
      <c r="B65" s="67" t="s">
        <v>86</v>
      </c>
      <c r="C65" s="67"/>
      <c r="D65" s="24">
        <f>_xll.BDP(CONCATENATE($B65," BGN Curncy"),D$14)</f>
        <v>18.181000000000001</v>
      </c>
      <c r="E65" s="24">
        <f>_xll.BDP(CONCATENATE($B65," BGN Curncy"),E$14)</f>
        <v>18.364699999999999</v>
      </c>
      <c r="F65" s="59">
        <f t="shared" si="1"/>
        <v>18.272849999999998</v>
      </c>
      <c r="G65" s="35"/>
      <c r="H65" s="35"/>
      <c r="I65" s="65">
        <f>TIMEVALUE(_xll.BDP(CONCATENATE($B65," BGN Curncy"),"BID_ASK_TIME"))</f>
        <v>4.445601851851852E-2</v>
      </c>
      <c r="J65" s="73"/>
    </row>
    <row r="66" spans="1:10" x14ac:dyDescent="0.3">
      <c r="A66" s="1"/>
      <c r="B66" s="67" t="s">
        <v>57</v>
      </c>
      <c r="C66" s="67"/>
      <c r="D66" s="24">
        <f>_xll.BDP(CONCATENATE($B66," BGN Curncy"),D$14)</f>
        <v>1.3309</v>
      </c>
      <c r="E66" s="24">
        <f>_xll.BDP(CONCATENATE($B66," BGN Curncy"),E$14)</f>
        <v>1.331</v>
      </c>
      <c r="F66" s="59">
        <f t="shared" si="1"/>
        <v>1.3309500000000001</v>
      </c>
      <c r="G66" s="25"/>
      <c r="H66" s="25"/>
      <c r="I66" s="65">
        <f>TIMEVALUE(_xll.BDP(CONCATENATE($B66," BGN Curncy"),"BID_ASK_TIME"))</f>
        <v>4.445601851851852E-2</v>
      </c>
      <c r="J66" s="73"/>
    </row>
    <row r="67" spans="1:10" x14ac:dyDescent="0.3">
      <c r="A67" s="1"/>
      <c r="B67" s="67" t="s">
        <v>25</v>
      </c>
      <c r="C67" s="67"/>
      <c r="D67" s="24">
        <f>_xll.BDP(CONCATENATE($B67," BGN Curncy"),D$14)</f>
        <v>21.176300000000001</v>
      </c>
      <c r="E67" s="24">
        <f>_xll.BDP(CONCATENATE($B67," BGN Curncy"),E$14)</f>
        <v>21.193200000000001</v>
      </c>
      <c r="F67" s="59">
        <f t="shared" si="1"/>
        <v>21.184750000000001</v>
      </c>
      <c r="G67" s="35"/>
      <c r="H67" s="35"/>
      <c r="I67" s="65">
        <f>TIMEVALUE(_xll.BDP(CONCATENATE($B67," BGN Curncy"),"BID_ASK_TIME"))</f>
        <v>4.445601851851852E-2</v>
      </c>
      <c r="J67" s="73"/>
    </row>
    <row r="68" spans="1:10" x14ac:dyDescent="0.3">
      <c r="A68" s="1"/>
      <c r="B68" s="67" t="s">
        <v>26</v>
      </c>
      <c r="C68" s="67"/>
      <c r="D68" s="24">
        <f>_xll.BDP(CONCATENATE($B68," BGN Curncy"),D$14)</f>
        <v>14.519399999999999</v>
      </c>
      <c r="E68" s="24">
        <f>_xll.BDP(CONCATENATE($B68," BGN Curncy"),E$14)</f>
        <v>14.522</v>
      </c>
      <c r="F68" s="59">
        <f t="shared" si="1"/>
        <v>14.5207</v>
      </c>
      <c r="G68" s="35"/>
      <c r="H68" s="35"/>
      <c r="I68" s="65">
        <f>TIMEVALUE(_xll.BDP(CONCATENATE($B68," BGN Curncy"),"BID_ASK_TIME"))</f>
        <v>4.445601851851852E-2</v>
      </c>
      <c r="J68" s="73"/>
    </row>
    <row r="69" spans="1:10" x14ac:dyDescent="0.3">
      <c r="A69" s="1"/>
      <c r="B69" s="67" t="s">
        <v>54</v>
      </c>
      <c r="C69" s="67"/>
      <c r="D69" s="24">
        <f>_xll.BDP(CONCATENATE($B69," BGN Curncy"),D$14)</f>
        <v>12.4442</v>
      </c>
      <c r="E69" s="24">
        <f>_xll.BDP(CONCATENATE($B69," BGN Curncy"),E$14)</f>
        <v>12.450200000000001</v>
      </c>
      <c r="F69" s="59">
        <f t="shared" si="1"/>
        <v>12.4472</v>
      </c>
      <c r="G69" s="25"/>
      <c r="H69" s="25"/>
      <c r="I69" s="65">
        <f>TIMEVALUE(_xll.BDP(CONCATENATE($B69," BGN Curncy"),"BID_ASK_TIME"))</f>
        <v>4.445601851851852E-2</v>
      </c>
      <c r="J69" s="73"/>
    </row>
    <row r="70" spans="1:10" x14ac:dyDescent="0.3">
      <c r="A70" s="1"/>
      <c r="B70" s="67" t="s">
        <v>87</v>
      </c>
      <c r="C70" s="67"/>
      <c r="D70" s="24">
        <f>_xll.BDP(CONCATENATE($B70," BGN Curncy"),D$14)</f>
        <v>0.99490000000000001</v>
      </c>
      <c r="E70" s="24">
        <f>_xll.BDP(CONCATENATE($B70," BGN Curncy"),E$14)</f>
        <v>0.99550000000000005</v>
      </c>
      <c r="F70" s="59">
        <f t="shared" si="1"/>
        <v>0.99520000000000008</v>
      </c>
      <c r="G70" s="25"/>
      <c r="H70" s="25"/>
      <c r="I70" s="65">
        <f>TIMEVALUE(_xll.BDP(CONCATENATE($B70," BGN Curncy"),"BID_ASK_TIME"))</f>
        <v>4.445601851851852E-2</v>
      </c>
      <c r="J70" s="73"/>
    </row>
    <row r="71" spans="1:10" x14ac:dyDescent="0.3">
      <c r="A71" s="1"/>
      <c r="B71" s="67" t="s">
        <v>27</v>
      </c>
      <c r="C71" s="67"/>
      <c r="D71" s="24">
        <f>_xll.BDP(CONCATENATE($B71," BGN Curncy"),D$14)</f>
        <v>0.87290000000000001</v>
      </c>
      <c r="E71" s="24">
        <f>_xll.BDP(CONCATENATE($B71," BGN Curncy"),E$14)</f>
        <v>0.87309999999999999</v>
      </c>
      <c r="F71" s="59">
        <f t="shared" si="1"/>
        <v>0.873</v>
      </c>
      <c r="G71" s="25"/>
      <c r="H71" s="25"/>
      <c r="I71" s="65">
        <f>TIMEVALUE(_xll.BDP(CONCATENATE($B71," BGN Curncy"),"BID_ASK_TIME"))</f>
        <v>4.445601851851852E-2</v>
      </c>
      <c r="J71" s="73"/>
    </row>
    <row r="72" spans="1:10" x14ac:dyDescent="0.3">
      <c r="A72" s="1"/>
      <c r="B72" s="67" t="s">
        <v>28</v>
      </c>
      <c r="C72" s="67"/>
      <c r="D72" s="24">
        <f>_xll.BDP(CONCATENATE($B72," BGN Curncy"),D$14)</f>
        <v>0.62719999999999998</v>
      </c>
      <c r="E72" s="24">
        <f>_xll.BDP(CONCATENATE($B72," BGN Curncy"),E$14)</f>
        <v>0.62729999999999997</v>
      </c>
      <c r="F72" s="59">
        <f t="shared" si="1"/>
        <v>0.62724999999999997</v>
      </c>
      <c r="G72" s="25"/>
      <c r="H72" s="25"/>
      <c r="I72" s="65">
        <f>TIMEVALUE(_xll.BDP(CONCATENATE($B72," BGN Curncy"),"BID_ASK_TIME"))</f>
        <v>4.4467592592592593E-2</v>
      </c>
      <c r="J72" s="73"/>
    </row>
    <row r="73" spans="1:10" x14ac:dyDescent="0.3">
      <c r="A73" s="1"/>
      <c r="B73" s="67" t="s">
        <v>52</v>
      </c>
      <c r="C73" s="67"/>
      <c r="D73" s="24">
        <f>_xll.BDP(CONCATENATE($B73," BGN Curncy"),D$14)</f>
        <v>77.102000000000004</v>
      </c>
      <c r="E73" s="24">
        <f>_xll.BDP(CONCATENATE($B73," BGN Curncy"),E$14)</f>
        <v>77.114999999999995</v>
      </c>
      <c r="F73" s="59">
        <f t="shared" si="1"/>
        <v>77.108499999999992</v>
      </c>
      <c r="G73" s="25"/>
      <c r="H73" s="25"/>
      <c r="I73" s="65">
        <f>TIMEVALUE(_xll.BDP(CONCATENATE($B73," BGN Curncy"),"BID_ASK_TIME"))</f>
        <v>4.445601851851852E-2</v>
      </c>
      <c r="J73" s="73"/>
    </row>
    <row r="74" spans="1:10" x14ac:dyDescent="0.3">
      <c r="A74" s="1"/>
      <c r="B74" s="67" t="s">
        <v>122</v>
      </c>
      <c r="C74" s="67"/>
      <c r="D74" s="24">
        <f>_xll.BDP(CONCATENATE($B74," BGN Curncy"),D$14)</f>
        <v>0.93259999999999998</v>
      </c>
      <c r="E74" s="24">
        <f>_xll.BDP(CONCATENATE($B74," BGN Curncy"),E$14)</f>
        <v>0.93289999999999995</v>
      </c>
      <c r="F74" s="59">
        <f t="shared" si="1"/>
        <v>0.93274999999999997</v>
      </c>
      <c r="G74" s="25"/>
      <c r="H74" s="25"/>
      <c r="I74" s="65">
        <f>TIMEVALUE(_xll.BDP(CONCATENATE($B74," BGN Curncy"),"BID_ASK_TIME"))</f>
        <v>4.4467592592592593E-2</v>
      </c>
      <c r="J74" s="73"/>
    </row>
    <row r="75" spans="1:10" x14ac:dyDescent="0.3">
      <c r="A75" s="2"/>
      <c r="B75" s="67" t="s">
        <v>59</v>
      </c>
      <c r="C75" s="67"/>
      <c r="D75" s="24">
        <f>_xll.BDP(CONCATENATE($B75," BGN Curncy"),D$14)</f>
        <v>0.68149999999999999</v>
      </c>
      <c r="E75" s="24">
        <f>_xll.BDP(CONCATENATE($B75," BGN Curncy"),E$14)</f>
        <v>0.68159999999999998</v>
      </c>
      <c r="F75" s="59">
        <f t="shared" si="1"/>
        <v>0.68154999999999999</v>
      </c>
      <c r="G75" s="25"/>
      <c r="H75" s="25"/>
      <c r="I75" s="65">
        <f>TIMEVALUE(_xll.BDP(CONCATENATE($B75," BGN Curncy"),"BID_ASK_TIME"))</f>
        <v>4.445601851851852E-2</v>
      </c>
      <c r="J75" s="73"/>
    </row>
    <row r="76" spans="1:10" x14ac:dyDescent="0.3">
      <c r="A76" s="1"/>
      <c r="B76" s="67" t="s">
        <v>121</v>
      </c>
      <c r="C76" s="67"/>
      <c r="D76" s="24">
        <f>_xll.BDP(CONCATENATE($B76," CMPN CURNCY"),D$14)</f>
        <v>82.662400000000005</v>
      </c>
      <c r="E76" s="24">
        <f>_xll.BDP(CONCATENATE($B76," CMPN Curncy"),E$14)</f>
        <v>82.681799999999996</v>
      </c>
      <c r="F76" s="59">
        <f t="shared" si="1"/>
        <v>82.6721</v>
      </c>
      <c r="G76" s="25"/>
      <c r="H76" s="25"/>
      <c r="I76" s="65">
        <f>TIMEVALUE(_xll.BDP(CONCATENATE($B76," CMPN Curncy"),"BID_ASK_TIME"))</f>
        <v>4.372685185185185E-2</v>
      </c>
      <c r="J76" s="73"/>
    </row>
    <row r="77" spans="1:10" x14ac:dyDescent="0.3">
      <c r="A77" s="1"/>
      <c r="B77" s="67" t="s">
        <v>130</v>
      </c>
      <c r="C77" s="67"/>
      <c r="D77" s="24">
        <f>_xll.BDP(CONCATENATE($B77," CMPN CURNCY"),D$14)</f>
        <v>3.6728000000000001</v>
      </c>
      <c r="E77" s="24">
        <f>_xll.BDP(CONCATENATE($B77," CMPN Curncy"),E$14)</f>
        <v>3.6730999999999998</v>
      </c>
      <c r="F77" s="59">
        <f>(D77+E77)/2</f>
        <v>3.6729500000000002</v>
      </c>
      <c r="G77" s="25"/>
      <c r="H77" s="25"/>
      <c r="I77" s="65">
        <f>TIMEVALUE(_xll.BDP(CONCATENATE($B77," CMPN Curncy"),"BID_ASK_TIME"))</f>
        <v>4.4224537037037041E-2</v>
      </c>
      <c r="J77" s="73"/>
    </row>
    <row r="78" spans="1:10" x14ac:dyDescent="0.3">
      <c r="A78" s="1"/>
      <c r="B78" s="67" t="s">
        <v>108</v>
      </c>
      <c r="C78" s="67"/>
      <c r="D78" s="24">
        <f>_xll.BDP(CONCATENATE($B78," BGN Curncy"),D$14)</f>
        <v>5.6271000000000004</v>
      </c>
      <c r="E78" s="24">
        <f>_xll.BDP(CONCATENATE($B78," BGN Curncy"),E$14)</f>
        <v>5.6298000000000004</v>
      </c>
      <c r="F78" s="59">
        <f t="shared" si="1"/>
        <v>5.6284500000000008</v>
      </c>
      <c r="G78" s="25"/>
      <c r="H78" s="25"/>
      <c r="I78" s="65">
        <f>TIMEVALUE(_xll.BDP(CONCATENATE($B78," BGN Curncy"),"BID_ASK_TIME"))</f>
        <v>4.4467592592592593E-2</v>
      </c>
      <c r="J78" s="73"/>
    </row>
    <row r="79" spans="1:10" x14ac:dyDescent="0.3">
      <c r="A79" s="1"/>
      <c r="B79" s="67" t="s">
        <v>60</v>
      </c>
      <c r="C79" s="67"/>
      <c r="D79" s="24">
        <f>_xll.BDP(CONCATENATE($B79," BGN Curncy"),D$14)</f>
        <v>1.2808999999999999</v>
      </c>
      <c r="E79" s="24">
        <f>_xll.BDP(CONCATENATE($B79," BGN Curncy"),E$14)</f>
        <v>1.2810999999999999</v>
      </c>
      <c r="F79" s="59">
        <f t="shared" si="1"/>
        <v>1.2809999999999999</v>
      </c>
      <c r="G79" s="25"/>
      <c r="H79" s="25"/>
      <c r="I79" s="65">
        <f>TIMEVALUE(_xll.BDP(CONCATENATE($B79," BGN Curncy"),"BID_ASK_TIME"))</f>
        <v>4.445601851851852E-2</v>
      </c>
      <c r="J79" s="73"/>
    </row>
    <row r="80" spans="1:10" x14ac:dyDescent="0.3">
      <c r="A80" s="1"/>
      <c r="B80" s="67" t="s">
        <v>63</v>
      </c>
      <c r="C80" s="67"/>
      <c r="D80" s="24">
        <f>_xll.BDP(CONCATENATE($B80," BGN Curncy"),D$14)</f>
        <v>0.9204</v>
      </c>
      <c r="E80" s="24">
        <f>_xll.BDP(CONCATENATE($B80," BGN Curncy"),E$14)</f>
        <v>0.92049999999999998</v>
      </c>
      <c r="F80" s="59">
        <f t="shared" si="1"/>
        <v>0.92044999999999999</v>
      </c>
      <c r="G80" s="25"/>
      <c r="H80" s="25"/>
      <c r="I80" s="65">
        <f>TIMEVALUE(_xll.BDP(CONCATENATE($B80," BGN Curncy"),"BID_ASK_TIME"))</f>
        <v>4.445601851851852E-2</v>
      </c>
      <c r="J80" s="73"/>
    </row>
    <row r="81" spans="1:10" x14ac:dyDescent="0.3">
      <c r="A81" s="1"/>
      <c r="B81" s="67" t="s">
        <v>29</v>
      </c>
      <c r="C81" s="67"/>
      <c r="D81" s="24">
        <f>_xll.BDP(CONCATENATE($B81," BGN Curncy"),D$14)</f>
        <v>6.3722000000000003</v>
      </c>
      <c r="E81" s="24">
        <f>_xll.BDP(CONCATENATE($B81," BGN Curncy"),E$14)</f>
        <v>6.3726000000000003</v>
      </c>
      <c r="F81" s="59">
        <f t="shared" si="1"/>
        <v>6.3724000000000007</v>
      </c>
      <c r="G81" s="25"/>
      <c r="H81" s="25"/>
      <c r="I81" s="65">
        <f>TIMEVALUE(_xll.BDP(CONCATENATE($B81," BGN Curncy"),"BID_ASK_TIME"))</f>
        <v>4.445601851851852E-2</v>
      </c>
      <c r="J81" s="73"/>
    </row>
    <row r="82" spans="1:10" x14ac:dyDescent="0.3">
      <c r="A82" s="1"/>
      <c r="B82" s="67" t="s">
        <v>44</v>
      </c>
      <c r="C82" s="67"/>
      <c r="D82" s="24">
        <f>_xll.BDP(CONCATENATE($B82," BGN Curncy"),D$14)</f>
        <v>6.3765000000000001</v>
      </c>
      <c r="E82" s="24">
        <f>_xll.BDP(CONCATENATE($B82," BGN Curncy"),E$14)</f>
        <v>6.3776999999999999</v>
      </c>
      <c r="F82" s="59">
        <f t="shared" si="1"/>
        <v>6.3771000000000004</v>
      </c>
      <c r="G82" s="25"/>
      <c r="H82" s="25"/>
      <c r="I82" s="65">
        <f>TIMEVALUE(_xll.BDP(CONCATENATE($B82," BGN Curncy"),"TIME"))</f>
        <v>0.97876157407407405</v>
      </c>
      <c r="J82" s="73"/>
    </row>
    <row r="83" spans="1:10" x14ac:dyDescent="0.3">
      <c r="A83" s="1"/>
      <c r="B83" s="67" t="s">
        <v>88</v>
      </c>
      <c r="C83" s="67"/>
      <c r="D83" s="24">
        <f>_xll.BDP(CONCATENATE($B83," BGN Curncy"),D$14)</f>
        <v>22.505299999999998</v>
      </c>
      <c r="E83" s="24">
        <f>_xll.BDP(CONCATENATE($B83," BGN Curncy"),E$14)</f>
        <v>22.52</v>
      </c>
      <c r="F83" s="59">
        <f t="shared" ref="F83:F112" si="2">(D83+E83)/2</f>
        <v>22.512650000000001</v>
      </c>
      <c r="G83" s="25"/>
      <c r="H83" s="25"/>
      <c r="I83" s="65">
        <f>TIMEVALUE(_xll.BDP(CONCATENATE($B83," BGN Curncy"),"BID_ASK_TIME"))</f>
        <v>4.4467592592592593E-2</v>
      </c>
      <c r="J83" s="73"/>
    </row>
    <row r="84" spans="1:10" x14ac:dyDescent="0.3">
      <c r="A84" s="1"/>
      <c r="B84" s="67" t="s">
        <v>89</v>
      </c>
      <c r="C84" s="67"/>
      <c r="D84" s="24">
        <f>_xll.BDP(CONCATENATE($B84," BGN Curncy"),D$14)</f>
        <v>6.5768000000000004</v>
      </c>
      <c r="E84" s="24">
        <f>_xll.BDP(CONCATENATE($B84," BGN Curncy"),E$14)</f>
        <v>6.5773000000000001</v>
      </c>
      <c r="F84" s="59">
        <f t="shared" si="2"/>
        <v>6.5770499999999998</v>
      </c>
      <c r="G84" s="25"/>
      <c r="H84" s="25"/>
      <c r="I84" s="65">
        <f>TIMEVALUE(_xll.BDP(CONCATENATE($B84," BGN Curncy"),"BID_ASK_TIME"))</f>
        <v>4.445601851851852E-2</v>
      </c>
      <c r="J84" s="73"/>
    </row>
    <row r="85" spans="1:10" x14ac:dyDescent="0.3">
      <c r="A85" s="1"/>
      <c r="B85" s="67" t="s">
        <v>30</v>
      </c>
      <c r="C85" s="67"/>
      <c r="D85" s="24">
        <f>_xll.BDP(CONCATENATE($B85," BGN Curncy"),D$14)</f>
        <v>7.7916999999999996</v>
      </c>
      <c r="E85" s="24">
        <f>_xll.BDP(CONCATENATE($B85," BGN Curncy"),E$14)</f>
        <v>7.7920999999999996</v>
      </c>
      <c r="F85" s="59">
        <f t="shared" si="2"/>
        <v>7.7919</v>
      </c>
      <c r="G85" s="25"/>
      <c r="H85" s="25"/>
      <c r="I85" s="65">
        <f>TIMEVALUE(_xll.BDP(CONCATENATE($B85," BGN Curncy"),"BID_ASK_TIME"))</f>
        <v>4.445601851851852E-2</v>
      </c>
      <c r="J85" s="73"/>
    </row>
    <row r="86" spans="1:10" x14ac:dyDescent="0.3">
      <c r="A86" s="1"/>
      <c r="B86" s="67" t="s">
        <v>40</v>
      </c>
      <c r="C86" s="67"/>
      <c r="D86" s="57">
        <f>_xll.BDP(CONCATENATE($B86," BGN Curncy"),D$14)</f>
        <v>321.81</v>
      </c>
      <c r="E86" s="57">
        <f>_xll.BDP(CONCATENATE($B86," BGN Curncy"),E$14)</f>
        <v>322.02999999999997</v>
      </c>
      <c r="F86" s="59">
        <f t="shared" si="2"/>
        <v>321.91999999999996</v>
      </c>
      <c r="G86" s="25"/>
      <c r="H86" s="25"/>
      <c r="I86" s="65">
        <f>TIMEVALUE(_xll.BDP(CONCATENATE($B86," BGN Curncy"),"BID_ASK_TIME"))</f>
        <v>4.445601851851852E-2</v>
      </c>
      <c r="J86" s="73"/>
    </row>
    <row r="87" spans="1:10" x14ac:dyDescent="0.3">
      <c r="A87" s="1"/>
      <c r="B87" s="67" t="s">
        <v>31</v>
      </c>
      <c r="C87" s="67"/>
      <c r="D87" s="24">
        <f>_xll.BDP(CONCATENATE($B87," BGN Curncy"),D$14)</f>
        <v>14391</v>
      </c>
      <c r="E87" s="24">
        <f>_xll.BDP(CONCATENATE($B87," BGN Curncy"),E$14)</f>
        <v>14404</v>
      </c>
      <c r="F87" s="59">
        <f t="shared" si="2"/>
        <v>14397.5</v>
      </c>
      <c r="G87" s="25"/>
      <c r="H87" s="25"/>
      <c r="I87" s="65">
        <f>TIMEVALUE(_xll.BDP(CONCATENATE($B87," BGN Curncy"),"TIME"))</f>
        <v>0.66665509259259259</v>
      </c>
      <c r="J87" s="73"/>
    </row>
    <row r="88" spans="1:10" x14ac:dyDescent="0.3">
      <c r="A88" s="1"/>
      <c r="B88" s="67" t="s">
        <v>123</v>
      </c>
      <c r="C88" s="67"/>
      <c r="D88" s="24">
        <f>_xll.BDP(CONCATENATE($B88," BGN Curncy"),D$14)</f>
        <v>3.1625000000000001</v>
      </c>
      <c r="E88" s="24">
        <f>_xll.BDP(CONCATENATE($B88," BGN Curncy"),E$14)</f>
        <v>3.1652999999999998</v>
      </c>
      <c r="F88" s="59">
        <f>(D88+E88)/2</f>
        <v>3.1638999999999999</v>
      </c>
      <c r="G88" s="25"/>
      <c r="H88" s="25"/>
      <c r="I88" s="65">
        <f>TIMEVALUE(_xll.BDP(CONCATENATE($B88," BGN Curncy"),"TIME"))</f>
        <v>4.445601851851852E-2</v>
      </c>
      <c r="J88" s="73"/>
    </row>
    <row r="89" spans="1:10" x14ac:dyDescent="0.3">
      <c r="A89" s="1"/>
      <c r="B89" s="67" t="s">
        <v>68</v>
      </c>
      <c r="C89" s="67"/>
      <c r="D89" s="24">
        <f>_xll.BDP(CONCATENATE($B89," BGN Curncy"),D$14)</f>
        <v>74.987499999999997</v>
      </c>
      <c r="E89" s="24">
        <f>_xll.BDP(CONCATENATE($B89," BGN Curncy"),E$14)</f>
        <v>74.995000000000005</v>
      </c>
      <c r="F89" s="59">
        <f t="shared" si="2"/>
        <v>74.991250000000008</v>
      </c>
      <c r="G89" s="25"/>
      <c r="H89" s="25"/>
      <c r="I89" s="65">
        <f>TIMEVALUE(_xll.BDP(CONCATENATE($B89," BGN Curncy"),"TIME"))</f>
        <v>0.74998842592592585</v>
      </c>
      <c r="J89" s="73"/>
    </row>
    <row r="90" spans="1:10" x14ac:dyDescent="0.3">
      <c r="A90" s="1"/>
      <c r="B90" s="67" t="s">
        <v>47</v>
      </c>
      <c r="C90" s="67"/>
      <c r="D90" s="24">
        <f>_xll.BDP(CONCATENATE($B90," BGN Curncy"),D$14)</f>
        <v>113.14</v>
      </c>
      <c r="E90" s="24">
        <f>_xll.BDP(CONCATENATE($B90," BGN Curncy"),E$14)</f>
        <v>113.15</v>
      </c>
      <c r="F90" s="59">
        <f t="shared" si="2"/>
        <v>113.14500000000001</v>
      </c>
      <c r="G90" s="25"/>
      <c r="H90" s="25"/>
      <c r="I90" s="65">
        <f>TIMEVALUE(_xll.BDP(CONCATENATE($B90," BGN Curncy"),"BID_ASK_TIME"))</f>
        <v>4.4467592592592593E-2</v>
      </c>
      <c r="J90" s="73"/>
    </row>
    <row r="91" spans="1:10" x14ac:dyDescent="0.3">
      <c r="A91" s="1"/>
      <c r="B91" s="67" t="s">
        <v>32</v>
      </c>
      <c r="C91" s="67"/>
      <c r="D91" s="24">
        <f>_xll.BDP(CONCATENATE($B91," BGN Curncy"),D$14)</f>
        <v>1175.3399999999999</v>
      </c>
      <c r="E91" s="24">
        <f>_xll.BDP(CONCATENATE($B91," BGN Curncy"),E$14)</f>
        <v>1175.9000000000001</v>
      </c>
      <c r="F91" s="59">
        <f t="shared" si="2"/>
        <v>1175.6199999999999</v>
      </c>
      <c r="G91" s="25"/>
      <c r="H91" s="25"/>
      <c r="I91" s="65">
        <f>TIMEVALUE(_xll.BDP(CONCATENATE($B91," BGN Curncy"),"TIME"))</f>
        <v>0.60415509259259259</v>
      </c>
      <c r="J91" s="73"/>
    </row>
    <row r="92" spans="1:10" x14ac:dyDescent="0.3">
      <c r="A92" s="1"/>
      <c r="B92" s="67" t="s">
        <v>41</v>
      </c>
      <c r="C92" s="67"/>
      <c r="D92" s="24">
        <f>_xll.BDP(CONCATENATE($B92," BGN Curncy"),D$14)</f>
        <v>21.315999999999999</v>
      </c>
      <c r="E92" s="24">
        <f>_xll.BDP(CONCATENATE($B92," BGN Curncy"),E$14)</f>
        <v>21.3216</v>
      </c>
      <c r="F92" s="59">
        <f t="shared" si="2"/>
        <v>21.3188</v>
      </c>
      <c r="G92" s="25"/>
      <c r="H92" s="25"/>
      <c r="I92" s="65">
        <f>TIMEVALUE(_xll.BDP(CONCATENATE($B92," BGN Curncy"),"BID_ASK_TIME"))</f>
        <v>4.445601851851852E-2</v>
      </c>
      <c r="J92" s="73"/>
    </row>
    <row r="93" spans="1:10" x14ac:dyDescent="0.3">
      <c r="A93" s="1"/>
      <c r="B93" s="67" t="s">
        <v>33</v>
      </c>
      <c r="C93" s="67"/>
      <c r="D93" s="24">
        <f>_xll.BDP(CONCATENATE($B93," BGN Curncy"),D$14)</f>
        <v>4.2314999999999996</v>
      </c>
      <c r="E93" s="24">
        <f>_xll.BDP(CONCATENATE($B93," BGN Curncy"),E$14)</f>
        <v>4.2344999999999997</v>
      </c>
      <c r="F93" s="59">
        <f t="shared" si="2"/>
        <v>4.2329999999999997</v>
      </c>
      <c r="G93" s="25"/>
      <c r="H93" s="25"/>
      <c r="I93" s="65">
        <f>TIMEVALUE(_xll.BDP(CONCATENATE($B93," BGN Curncy"),"TIME"))</f>
        <v>0.74968749999999995</v>
      </c>
      <c r="J93" s="73"/>
    </row>
    <row r="94" spans="1:10" x14ac:dyDescent="0.3">
      <c r="A94" s="1"/>
      <c r="B94" s="67" t="s">
        <v>34</v>
      </c>
      <c r="C94" s="67"/>
      <c r="D94" s="24">
        <f>_xll.BDP(CONCATENATE($B94," BGN Curncy"),D$14)</f>
        <v>9.0881000000000007</v>
      </c>
      <c r="E94" s="24">
        <f>_xll.BDP(CONCATENATE($B94," BGN Curncy"),E$14)</f>
        <v>9.0909999999999993</v>
      </c>
      <c r="F94" s="59">
        <f t="shared" si="2"/>
        <v>9.0895499999999991</v>
      </c>
      <c r="G94" s="25"/>
      <c r="H94" s="25"/>
      <c r="I94" s="65">
        <f>TIMEVALUE(_xll.BDP(CONCATENATE($B94," BGN Curncy"),"BID_ASK_TIME"))</f>
        <v>4.445601851851852E-2</v>
      </c>
      <c r="J94" s="73"/>
    </row>
    <row r="95" spans="1:10" x14ac:dyDescent="0.3">
      <c r="A95" s="1"/>
      <c r="B95" s="67" t="s">
        <v>35</v>
      </c>
      <c r="C95" s="67"/>
      <c r="D95" s="24">
        <f>_xll.BDP(CONCATENATE($B95," BGN Curncy"),D$14)</f>
        <v>50.4</v>
      </c>
      <c r="E95" s="24">
        <f>_xll.BDP(CONCATENATE($B95," BGN Curncy"),E$14)</f>
        <v>50.42</v>
      </c>
      <c r="F95" s="59">
        <f t="shared" si="2"/>
        <v>50.41</v>
      </c>
      <c r="G95" s="25"/>
      <c r="H95" s="25"/>
      <c r="I95" s="65">
        <f>TIMEVALUE(_xll.BDP(CONCATENATE($B95," BGN Curncy"),"TIME"))</f>
        <v>0.66664351851851855</v>
      </c>
      <c r="J95" s="73"/>
    </row>
    <row r="96" spans="1:10" x14ac:dyDescent="0.3">
      <c r="A96" s="1"/>
      <c r="B96" s="67" t="s">
        <v>43</v>
      </c>
      <c r="C96" s="67"/>
      <c r="D96" s="24">
        <f>_xll.BDP(CONCATENATE($B96," BGN Curncy"),D$14)</f>
        <v>4.0677000000000003</v>
      </c>
      <c r="E96" s="24">
        <f>_xll.BDP(CONCATENATE($B96," BGN Curncy"),E$14)</f>
        <v>4.0702999999999996</v>
      </c>
      <c r="F96" s="59">
        <f t="shared" si="2"/>
        <v>4.069</v>
      </c>
      <c r="G96" s="25"/>
      <c r="H96" s="25"/>
      <c r="I96" s="65">
        <f>TIMEVALUE(_xll.BDP(CONCATENATE($B96," BGN Curncy"),"BID_ASK_TIME"))</f>
        <v>4.445601851851852E-2</v>
      </c>
      <c r="J96" s="73"/>
    </row>
    <row r="97" spans="1:10" x14ac:dyDescent="0.3">
      <c r="A97" s="1"/>
      <c r="B97" s="67" t="s">
        <v>90</v>
      </c>
      <c r="C97" s="67"/>
      <c r="D97" s="24">
        <f>_xll.BDP(CONCATENATE($B97," BGN Curncy"),D$14)</f>
        <v>73.691100000000006</v>
      </c>
      <c r="E97" s="24">
        <f>_xll.BDP(CONCATENATE($B97," BGN Curncy"),E$14)</f>
        <v>73.711299999999994</v>
      </c>
      <c r="F97" s="59">
        <f t="shared" si="2"/>
        <v>73.7012</v>
      </c>
      <c r="G97" s="25"/>
      <c r="H97" s="25"/>
      <c r="I97" s="65">
        <f>TIMEVALUE(_xll.BDP(CONCATENATE($B97," BGN Curncy"),"BID_ASK_TIME"))</f>
        <v>4.4467592592592593E-2</v>
      </c>
      <c r="J97" s="73"/>
    </row>
    <row r="98" spans="1:10" x14ac:dyDescent="0.3">
      <c r="A98" s="1"/>
      <c r="B98" s="67" t="s">
        <v>36</v>
      </c>
      <c r="C98" s="67"/>
      <c r="D98" s="24">
        <f>_xll.BDP(CONCATENATE($B98," BGN Curncy"),D$14)</f>
        <v>9.0446000000000009</v>
      </c>
      <c r="E98" s="24">
        <f>_xll.BDP(CONCATENATE($B98," BGN Curncy"),E$14)</f>
        <v>9.0473999999999997</v>
      </c>
      <c r="F98" s="59">
        <f t="shared" si="2"/>
        <v>9.0459999999999994</v>
      </c>
      <c r="G98" s="25"/>
      <c r="H98" s="25"/>
      <c r="I98" s="65">
        <f>TIMEVALUE(_xll.BDP(CONCATENATE($B98," BGN Curncy"),"BID_ASK_TIME"))</f>
        <v>4.445601851851852E-2</v>
      </c>
      <c r="J98" s="73"/>
    </row>
    <row r="99" spans="1:10" x14ac:dyDescent="0.3">
      <c r="A99" s="1"/>
      <c r="B99" s="67" t="s">
        <v>37</v>
      </c>
      <c r="C99" s="67"/>
      <c r="D99" s="24">
        <f>_xll.BDP(CONCATENATE($B99," BGN Curncy"),D$14)</f>
        <v>1.3685</v>
      </c>
      <c r="E99" s="24">
        <f>_xll.BDP(CONCATENATE($B99," BGN Curncy"),E$14)</f>
        <v>1.3687</v>
      </c>
      <c r="F99" s="59">
        <f t="shared" si="2"/>
        <v>1.3686</v>
      </c>
      <c r="G99" s="25"/>
      <c r="H99" s="25"/>
      <c r="I99" s="65">
        <f>TIMEVALUE(_xll.BDP(CONCATENATE($B99," BGN Curncy"),"BID_ASK_TIME"))</f>
        <v>4.4467592592592593E-2</v>
      </c>
      <c r="J99" s="73"/>
    </row>
    <row r="100" spans="1:10" x14ac:dyDescent="0.3">
      <c r="A100" s="1"/>
      <c r="B100" s="67" t="s">
        <v>38</v>
      </c>
      <c r="C100" s="67"/>
      <c r="D100" s="24">
        <f>_xll.BDP(CONCATENATE($B100," BGN Curncy"),D$14)</f>
        <v>33.875</v>
      </c>
      <c r="E100" s="24">
        <f>_xll.BDP(CONCATENATE($B100," BGN Curncy"),E$14)</f>
        <v>33.901000000000003</v>
      </c>
      <c r="F100" s="59">
        <f t="shared" si="2"/>
        <v>33.888000000000005</v>
      </c>
      <c r="G100" s="25"/>
      <c r="H100" s="25"/>
      <c r="I100" s="65">
        <f>TIMEVALUE(_xll.BDP(CONCATENATE($B100," BGN Curncy"),"BID_ASK_TIME"))</f>
        <v>4.445601851851852E-2</v>
      </c>
      <c r="J100" s="73"/>
    </row>
    <row r="101" spans="1:10" x14ac:dyDescent="0.3">
      <c r="A101" s="1"/>
      <c r="B101" s="67" t="s">
        <v>42</v>
      </c>
      <c r="C101" s="67"/>
      <c r="D101" s="24">
        <f>_xll.BDP(CONCATENATE($B101," BGN Curncy"),D$14)</f>
        <v>13.6632</v>
      </c>
      <c r="E101" s="24">
        <f>_xll.BDP(CONCATENATE($B101," BGN Curncy"),E$14)</f>
        <v>13.776999999999999</v>
      </c>
      <c r="F101" s="59">
        <f t="shared" si="2"/>
        <v>13.720099999999999</v>
      </c>
      <c r="G101" s="25"/>
      <c r="H101" s="25"/>
      <c r="I101" s="65">
        <f>TIMEVALUE(_xll.BDP(CONCATENATE($B101," BGN Curncy"),"BID_ASK_TIME"))</f>
        <v>4.445601851851852E-2</v>
      </c>
      <c r="J101" s="73"/>
    </row>
    <row r="102" spans="1:10" x14ac:dyDescent="0.3">
      <c r="A102" s="1"/>
      <c r="B102" s="67" t="s">
        <v>39</v>
      </c>
      <c r="C102" s="67"/>
      <c r="D102" s="24">
        <f>_xll.BDP(CONCATENATE($B102," BGN Curncy"),D$14)</f>
        <v>27.716000000000001</v>
      </c>
      <c r="E102" s="24">
        <f>_xll.BDP(CONCATENATE($B102," BGN Curncy"),E$14)</f>
        <v>27.736000000000001</v>
      </c>
      <c r="F102" s="59">
        <f t="shared" si="2"/>
        <v>27.725999999999999</v>
      </c>
      <c r="G102" s="25"/>
      <c r="H102" s="25"/>
      <c r="I102" s="65">
        <f>TIMEVALUE(_xll.BDP(CONCATENATE($B102," BGN Curncy"),"TIME"))</f>
        <v>0.66660879629629632</v>
      </c>
      <c r="J102" s="73"/>
    </row>
    <row r="103" spans="1:10" x14ac:dyDescent="0.3">
      <c r="A103" s="1"/>
      <c r="B103" s="67" t="s">
        <v>64</v>
      </c>
      <c r="C103" s="67"/>
      <c r="D103" s="24">
        <f>_xll.BDP(CONCATENATE($B103," BGN Curncy"),D$14)</f>
        <v>15.9123</v>
      </c>
      <c r="E103" s="24">
        <f>_xll.BDP(CONCATENATE($B103," BGN Curncy"),E$14)</f>
        <v>15.920500000000001</v>
      </c>
      <c r="F103" s="59">
        <f t="shared" si="2"/>
        <v>15.916399999999999</v>
      </c>
      <c r="G103" s="25"/>
      <c r="H103" s="25"/>
      <c r="I103" s="65">
        <f>TIMEVALUE(_xll.BDP(CONCATENATE($B103," BGN Curncy"),"BID_ASK_TIME"))</f>
        <v>4.445601851851852E-2</v>
      </c>
      <c r="J103" s="73"/>
    </row>
    <row r="104" spans="1:10" x14ac:dyDescent="0.3">
      <c r="A104" s="1"/>
      <c r="B104" s="67" t="s">
        <v>120</v>
      </c>
      <c r="C104" s="67"/>
      <c r="D104" s="24">
        <f>_xll.BDP(CONCATENATE($B104," CMPN CURNCY"),D$14)</f>
        <v>30.5839</v>
      </c>
      <c r="E104" s="24">
        <f>_xll.BDP(CONCATENATE($B104," CMPN Curncy"),E$14)</f>
        <v>30.602799999999998</v>
      </c>
      <c r="F104" s="59">
        <f t="shared" si="2"/>
        <v>30.593350000000001</v>
      </c>
      <c r="G104" s="25"/>
      <c r="H104" s="25"/>
      <c r="I104" s="65">
        <f>TIMEVALUE(_xll.BDP(CONCATENATE($B104," CMPN Curncy"),"BID_ASK_TIME"))</f>
        <v>4.4155092592592593E-2</v>
      </c>
      <c r="J104" s="73"/>
    </row>
    <row r="105" spans="1:10" x14ac:dyDescent="0.3">
      <c r="A105" s="1"/>
      <c r="B105" s="67" t="s">
        <v>45</v>
      </c>
      <c r="C105" s="67"/>
      <c r="D105" s="57">
        <f>_xll.BDP(CONCATENATE($B105," BGN Curncy"),D$14)</f>
        <v>22.348299999999998</v>
      </c>
      <c r="E105" s="57">
        <f>_xll.BDP(CONCATENATE($B105," BGN Curncy"),E$14)</f>
        <v>22.3583</v>
      </c>
      <c r="F105" s="59">
        <f t="shared" si="2"/>
        <v>22.353299999999997</v>
      </c>
      <c r="G105" s="35"/>
      <c r="H105" s="35"/>
      <c r="I105" s="65">
        <f>TIMEVALUE(_xll.BDP(CONCATENATE($B105," BGN Curncy"),"BID_ASK_TIME"))</f>
        <v>4.445601851851852E-2</v>
      </c>
    </row>
    <row r="106" spans="1:10" x14ac:dyDescent="0.3">
      <c r="A106" s="1"/>
      <c r="B106" s="67" t="s">
        <v>125</v>
      </c>
      <c r="C106" s="67"/>
      <c r="D106" s="57">
        <f>_xll.BDP(CONCATENATE($B106," BGN Curncy"),D$14)</f>
        <v>11246.2</v>
      </c>
      <c r="E106" s="57">
        <f>_xll.BDP(CONCATENATE($B106," BGN Curncy"),E$14)</f>
        <v>11248.96</v>
      </c>
      <c r="F106" s="59">
        <f>(D106+E106)/2</f>
        <v>11247.58</v>
      </c>
      <c r="G106" s="35"/>
      <c r="H106" s="35"/>
      <c r="I106" s="65">
        <f>TIMEVALUE(_xll.BDP(CONCATENATE($B106," BGN Curncy"),"BID_ASK_TIME"))</f>
        <v>4.4097222222222225E-2</v>
      </c>
    </row>
    <row r="107" spans="1:10" x14ac:dyDescent="0.3">
      <c r="A107" s="1"/>
      <c r="B107" s="26" t="s">
        <v>119</v>
      </c>
      <c r="C107" s="27"/>
      <c r="D107" s="24">
        <f>_xll.BDP(CONCATENATE($B107," CMPN Curncy"),D$14)</f>
        <v>2415.2383</v>
      </c>
      <c r="E107" s="24">
        <f>_xll.BDP(CONCATENATE($B107," CMPN Curncy"),E$14)</f>
        <v>2416.0839999999998</v>
      </c>
      <c r="F107" s="59">
        <f t="shared" si="2"/>
        <v>2415.6611499999999</v>
      </c>
      <c r="G107" s="25"/>
      <c r="H107" s="25"/>
      <c r="I107" s="65">
        <f>TIMEVALUE(_xll.BDP(CONCATENATE($B107," CMPN Curncy"),"BID_ASK_TIME"))</f>
        <v>4.4155092592592593E-2</v>
      </c>
    </row>
    <row r="108" spans="1:10" x14ac:dyDescent="0.3">
      <c r="A108" s="1"/>
      <c r="B108" s="26" t="s">
        <v>46</v>
      </c>
      <c r="C108" s="27"/>
      <c r="D108" s="57">
        <f>_xll.BDP(CONCATENATE($B108," BGN Curncy"),D$14)</f>
        <v>1764.9</v>
      </c>
      <c r="E108" s="57">
        <f>_xll.BDP(CONCATENATE($B108," BGN Curncy"),E$14)</f>
        <v>1765.21</v>
      </c>
      <c r="F108" s="59">
        <f t="shared" si="2"/>
        <v>1765.0550000000001</v>
      </c>
      <c r="G108" s="35"/>
      <c r="H108" s="35"/>
      <c r="I108" s="65">
        <f>TIMEVALUE(_xll.BDP(CONCATENATE($B108," BGN Curncy"),"BID_ASK_TIME"))</f>
        <v>4.4467592592592593E-2</v>
      </c>
    </row>
    <row r="109" spans="1:10" x14ac:dyDescent="0.3">
      <c r="A109" s="1"/>
      <c r="B109" s="26" t="s">
        <v>91</v>
      </c>
      <c r="C109" s="27"/>
      <c r="D109" s="57">
        <f>_xll.BDP(CONCATENATE($B109," BGN Curncy"),D$14)</f>
        <v>1774.88</v>
      </c>
      <c r="E109" s="57">
        <f>_xll.BDP(CONCATENATE($B109," BGN Curncy"),E$14)</f>
        <v>1789</v>
      </c>
      <c r="F109" s="59">
        <f t="shared" si="2"/>
        <v>1781.94</v>
      </c>
      <c r="G109" s="25"/>
      <c r="H109" s="25"/>
      <c r="I109" s="65">
        <f>TIMEVALUE(_xll.BDP(CONCATENATE($B109," BGN Curncy"),"BID_ASK_TIME"))</f>
        <v>4.4398148148148152E-2</v>
      </c>
    </row>
    <row r="110" spans="1:10" x14ac:dyDescent="0.3">
      <c r="A110" s="1"/>
      <c r="B110" s="26" t="s">
        <v>131</v>
      </c>
      <c r="C110" s="79" t="s">
        <v>132</v>
      </c>
      <c r="D110" s="57">
        <f>_xll.BDP(CONCATENATE($C110," BGN Curncy"),D$14)</f>
        <v>1282.4329</v>
      </c>
      <c r="E110" s="57">
        <f>_xll.BDP(CONCATENATE($C110," BGN Curncy"),E$14)</f>
        <v>1290.0119999999999</v>
      </c>
      <c r="F110" s="59">
        <f>(D110+E110)/2</f>
        <v>1286.22245</v>
      </c>
      <c r="G110" s="25"/>
      <c r="H110" s="25"/>
      <c r="I110" s="65">
        <f>TIMEVALUE(_xll.BDP(CONCATENATE($C110," BGN Curncy"),"BID_ASK_TIME"))</f>
        <v>4.355324074074074E-2</v>
      </c>
    </row>
    <row r="111" spans="1:10" x14ac:dyDescent="0.3">
      <c r="A111" s="1"/>
      <c r="B111" s="26" t="s">
        <v>92</v>
      </c>
      <c r="C111" s="27"/>
      <c r="D111" s="57">
        <f>_xll.BDP(CONCATENATE($B111," BGN Curncy"),D$14)</f>
        <v>936.4</v>
      </c>
      <c r="E111" s="57">
        <f>_xll.BDP(CONCATENATE($B111," BGN Curncy"),E$14)</f>
        <v>941.61</v>
      </c>
      <c r="F111" s="59">
        <f t="shared" si="2"/>
        <v>939.005</v>
      </c>
      <c r="G111" s="25"/>
      <c r="H111" s="25"/>
      <c r="I111" s="65">
        <f>TIMEVALUE(_xll.BDP(CONCATENATE($B111," BGN Curncy"),"BID_ASK_TIME"))</f>
        <v>4.445601851851852E-2</v>
      </c>
    </row>
    <row r="112" spans="1:10" x14ac:dyDescent="0.3">
      <c r="A112" s="1"/>
      <c r="B112" s="26" t="s">
        <v>55</v>
      </c>
      <c r="C112" s="27"/>
      <c r="D112" s="24">
        <f>_xll.BDP(CONCATENATE($B112," BGN Curncy"),D$14)</f>
        <v>7.1058000000000003</v>
      </c>
      <c r="E112" s="24">
        <f>_xll.BDP(CONCATENATE($B112," BGN Curncy"),E$14)</f>
        <v>7.1111000000000004</v>
      </c>
      <c r="F112" s="59">
        <f t="shared" si="2"/>
        <v>7.1084500000000004</v>
      </c>
      <c r="G112" s="25"/>
      <c r="H112" s="25"/>
      <c r="I112" s="65">
        <f>TIMEVALUE(_xll.BDP(CONCATENATE($B112," BGN Curncy"),"BID_ASK_TIME"))</f>
        <v>4.445601851851852E-2</v>
      </c>
    </row>
    <row r="113" spans="1:15" x14ac:dyDescent="0.3">
      <c r="A113" s="1"/>
      <c r="B113" s="26"/>
      <c r="C113" s="27"/>
      <c r="D113" s="24"/>
      <c r="E113" s="24"/>
      <c r="F113" s="25"/>
      <c r="G113" s="25"/>
      <c r="H113" s="25"/>
      <c r="I113" s="65"/>
    </row>
    <row r="114" spans="1:15" x14ac:dyDescent="0.3">
      <c r="A114" s="1"/>
      <c r="B114" s="26"/>
      <c r="C114" s="27"/>
      <c r="D114" s="57"/>
      <c r="E114" s="57"/>
      <c r="F114" s="58"/>
      <c r="G114" s="35"/>
      <c r="H114" s="35"/>
      <c r="I114" s="65"/>
      <c r="J114" s="73" t="s">
        <v>93</v>
      </c>
    </row>
    <row r="115" spans="1:15" x14ac:dyDescent="0.3">
      <c r="B115" s="26"/>
      <c r="C115" s="27"/>
      <c r="D115" s="57"/>
      <c r="E115" s="57"/>
      <c r="F115" s="58"/>
      <c r="G115" s="35"/>
      <c r="H115" s="35"/>
      <c r="I115" s="65"/>
      <c r="J115" s="74" t="s">
        <v>94</v>
      </c>
      <c r="L115" s="78" t="s">
        <v>105</v>
      </c>
      <c r="M115" s="78" t="s">
        <v>1</v>
      </c>
      <c r="N115" s="78" t="s">
        <v>106</v>
      </c>
    </row>
    <row r="116" spans="1:15" x14ac:dyDescent="0.3">
      <c r="B116" s="26" t="s">
        <v>136</v>
      </c>
      <c r="C116" s="27"/>
      <c r="D116" s="68">
        <f>_xll.BDP(CONCATENATE($B116," ", $L116,"/",$M116,"/",$N116," ", "CURNCY"),"PX BID")</f>
        <v>1188.8499999999999</v>
      </c>
      <c r="E116" s="68">
        <f>_xll.BDP(CONCATENATE($B116," ", $L116,"/",$M116,"/",$N116," ", "CURNCY"),"PX ASK")</f>
        <v>1189.723</v>
      </c>
      <c r="F116" s="71">
        <f t="shared" ref="F116:F120" si="3">(D116+E116)/2</f>
        <v>1189.2864999999999</v>
      </c>
      <c r="G116" s="25"/>
      <c r="H116" s="25"/>
      <c r="I116" s="65">
        <f>TIMEVALUE(_xll.BDP(CONCATENATE($O116," BGN Curncy"),"BID_ASK_TIME"))</f>
        <v>0.60415509259259259</v>
      </c>
      <c r="J116" s="75">
        <v>44554</v>
      </c>
      <c r="K116" s="69"/>
      <c r="L116" s="55">
        <v>12</v>
      </c>
      <c r="M116" s="55">
        <v>24</v>
      </c>
      <c r="N116" s="55">
        <v>21</v>
      </c>
      <c r="O116" s="70" t="s">
        <v>32</v>
      </c>
    </row>
    <row r="117" spans="1:15" x14ac:dyDescent="0.3">
      <c r="B117" s="26" t="s">
        <v>137</v>
      </c>
      <c r="C117" s="27"/>
      <c r="D117" s="68">
        <f>_xll.BDP(CONCATENATE($B117," ", $L117,"/",$M117,"/",$N117," ", "CURNCY"),"PX BID")</f>
        <v>14335.26</v>
      </c>
      <c r="E117" s="68">
        <f>_xll.BDP(CONCATENATE($B117," ", $L117,"/",$M117,"/",$N117," ", "CURNCY"),"PX ASK")</f>
        <v>14364.28</v>
      </c>
      <c r="F117" s="71">
        <f t="shared" ref="F117" si="4">(D117+E117)/2</f>
        <v>14349.77</v>
      </c>
      <c r="G117" s="25"/>
      <c r="H117" s="25"/>
      <c r="I117" s="65">
        <f>TIMEVALUE(_xll.BDP(CONCATENATE($O117," BGN Curncy"),"BID_ASK_TIME"))</f>
        <v>0.66665509259259259</v>
      </c>
      <c r="J117" s="75">
        <v>44553</v>
      </c>
      <c r="K117" s="69"/>
      <c r="L117" s="55">
        <v>12</v>
      </c>
      <c r="M117" s="55">
        <v>23</v>
      </c>
      <c r="N117" s="55">
        <v>21</v>
      </c>
      <c r="O117" s="70" t="s">
        <v>31</v>
      </c>
    </row>
    <row r="118" spans="1:15" x14ac:dyDescent="0.3">
      <c r="B118" s="26" t="s">
        <v>136</v>
      </c>
      <c r="C118" s="27"/>
      <c r="D118" s="68">
        <f>_xll.BDP(CONCATENATE($B118," ", $L118,"/",$M118,"/",$N118," ", "CURNCY"),"PX BID")</f>
        <v>1188.97</v>
      </c>
      <c r="E118" s="68">
        <f>_xll.BDP(CONCATENATE($B118," ", $L118,"/",$M118,"/",$N118," ", "CURNCY"),"PX ASK")</f>
        <v>1189.81</v>
      </c>
      <c r="F118" s="71">
        <f t="shared" si="3"/>
        <v>1189.3899999999999</v>
      </c>
      <c r="G118" s="25"/>
      <c r="H118" s="25"/>
      <c r="I118" s="65">
        <f>TIMEVALUE(_xll.BDP(CONCATENATE($O118," BGN Curncy"),"BID_ASK_TIME"))</f>
        <v>0.60415509259259259</v>
      </c>
      <c r="J118" s="75">
        <v>44557</v>
      </c>
      <c r="K118" s="69"/>
      <c r="L118" s="55">
        <v>12</v>
      </c>
      <c r="M118" s="55">
        <v>27</v>
      </c>
      <c r="N118" s="55">
        <v>21</v>
      </c>
      <c r="O118" s="70" t="s">
        <v>32</v>
      </c>
    </row>
    <row r="119" spans="1:15" x14ac:dyDescent="0.3">
      <c r="B119" s="26" t="s">
        <v>144</v>
      </c>
      <c r="C119" s="27"/>
      <c r="D119" s="68">
        <f>_xll.BDP(CONCATENATE($B119," ", $L119,"/",$M119,"/",$N119," ", "CURNCY"),"PX BID")</f>
        <v>6.4109499999999997</v>
      </c>
      <c r="E119" s="68">
        <f>_xll.BDP(CONCATENATE($B119," ", $L119,"/",$M119,"/",$N119," ", "CURNCY"),"PX ASK")</f>
        <v>6.4140550000000003</v>
      </c>
      <c r="F119" s="71">
        <f t="shared" si="3"/>
        <v>6.4125025000000004</v>
      </c>
      <c r="G119" s="25"/>
      <c r="H119" s="25"/>
      <c r="I119" s="65">
        <f>TIMEVALUE(_xll.BDP(CONCATENATE($O119," BGN Curncy"),"BID_ASK_TIME"))</f>
        <v>0.97876157407407405</v>
      </c>
      <c r="J119" s="75">
        <v>44557</v>
      </c>
      <c r="K119" s="69"/>
      <c r="L119" s="55">
        <v>12</v>
      </c>
      <c r="M119" s="55">
        <v>27</v>
      </c>
      <c r="N119" s="55">
        <v>21</v>
      </c>
      <c r="O119" s="70" t="s">
        <v>44</v>
      </c>
    </row>
    <row r="120" spans="1:15" x14ac:dyDescent="0.3">
      <c r="B120" s="26" t="s">
        <v>136</v>
      </c>
      <c r="C120" s="27"/>
      <c r="D120" s="68">
        <f>_xll.BDP(CONCATENATE($B120," ", $L120,"/",$M120,"/",$N120," ", "CURNCY"),"PX BID")</f>
        <v>1190.45</v>
      </c>
      <c r="E120" s="68">
        <f>_xll.BDP(CONCATENATE($B120," ", $L120,"/",$M120,"/",$N120," ", "CURNCY"),"PX ASK")</f>
        <v>1192.27</v>
      </c>
      <c r="F120" s="71">
        <f t="shared" si="3"/>
        <v>1191.3600000000001</v>
      </c>
      <c r="G120" s="25"/>
      <c r="H120" s="25"/>
      <c r="I120" s="65">
        <f>TIMEVALUE(_xll.BDP(CONCATENATE($O120," BGN Curncy"),"BID_ASK_TIME"))</f>
        <v>0.60415509259259259</v>
      </c>
      <c r="J120" s="75">
        <v>44559</v>
      </c>
      <c r="K120" s="69"/>
      <c r="L120" s="55">
        <v>12</v>
      </c>
      <c r="M120" s="55">
        <v>29</v>
      </c>
      <c r="N120" s="55">
        <v>21</v>
      </c>
      <c r="O120" s="70" t="s">
        <v>32</v>
      </c>
    </row>
    <row r="121" spans="1:15" x14ac:dyDescent="0.3">
      <c r="B121" s="26" t="s">
        <v>137</v>
      </c>
      <c r="C121" s="27"/>
      <c r="D121" s="68">
        <f>_xll.BDP(CONCATENATE($B121," ", $L121,"/",$M121,"/",$N121," ", "CURNCY"),"PX BID")</f>
        <v>14456.9</v>
      </c>
      <c r="E121" s="68">
        <f>_xll.BDP(CONCATENATE($B121," ", $L121,"/",$M121,"/",$N121," ", "CURNCY"),"PX ASK")</f>
        <v>14497.95</v>
      </c>
      <c r="F121" s="71">
        <f t="shared" ref="F121" si="5">(D121+E121)/2</f>
        <v>14477.424999999999</v>
      </c>
      <c r="G121" s="25"/>
      <c r="H121" s="25"/>
      <c r="I121" s="65">
        <f>TIMEVALUE(_xll.BDP(CONCATENATE($O121," BGN Curncy"),"BID_ASK_TIME"))</f>
        <v>0.66665509259259259</v>
      </c>
      <c r="J121" s="75">
        <v>44561</v>
      </c>
      <c r="K121" s="69"/>
      <c r="L121" s="55">
        <v>12</v>
      </c>
      <c r="M121" s="55">
        <v>31</v>
      </c>
      <c r="N121" s="55">
        <v>21</v>
      </c>
      <c r="O121" s="70" t="s">
        <v>31</v>
      </c>
    </row>
    <row r="122" spans="1:15" x14ac:dyDescent="0.3">
      <c r="B122" s="26" t="s">
        <v>128</v>
      </c>
      <c r="C122" s="27"/>
      <c r="D122" s="68">
        <f>_xll.BDP(CONCATENATE($B122," ", $L122,"/",$M122,"/",$N122," ", "CURNCY"),"PX BID")</f>
        <v>6.4025829999999999</v>
      </c>
      <c r="E122" s="68">
        <f>_xll.BDP(CONCATENATE($B122," ", $L122,"/",$M122,"/",$N122," ", "CURNCY"),"PX ASK")</f>
        <v>6.4035190000000002</v>
      </c>
      <c r="F122" s="71">
        <f t="shared" ref="F122" si="6">(D122+E122)/2</f>
        <v>6.4030509999999996</v>
      </c>
      <c r="G122" s="25"/>
      <c r="H122" s="25"/>
      <c r="I122" s="65">
        <f>TIMEVALUE(_xll.BDP(CONCATENATE($O122," BGN Curncy"),"BID_ASK_TIME"))</f>
        <v>4.445601851851852E-2</v>
      </c>
      <c r="J122" s="75">
        <v>44545</v>
      </c>
      <c r="K122" s="69"/>
      <c r="L122" s="55">
        <v>12</v>
      </c>
      <c r="M122" s="55">
        <v>15</v>
      </c>
      <c r="N122" s="55">
        <v>21</v>
      </c>
      <c r="O122" s="70" t="s">
        <v>29</v>
      </c>
    </row>
    <row r="123" spans="1:15" x14ac:dyDescent="0.3">
      <c r="B123" s="26" t="s">
        <v>133</v>
      </c>
      <c r="C123" s="27"/>
      <c r="D123" s="68">
        <f>_xll.BDP(CONCATENATE($B123," ", $L123,"/",$M123,"/",$N123," ", "CURNCY"),"PX BID")</f>
        <v>15.9803</v>
      </c>
      <c r="E123" s="68">
        <f>_xll.BDP(CONCATENATE($B123," ", $L123,"/",$M123,"/",$N123," ", "CURNCY"),"PX ASK")</f>
        <v>15.9895</v>
      </c>
      <c r="F123" s="71">
        <f t="shared" ref="F123" si="7">(D123+E123)/2</f>
        <v>15.9849</v>
      </c>
      <c r="G123" s="25"/>
      <c r="H123" s="25"/>
      <c r="I123" s="65">
        <f>TIMEVALUE(_xll.BDP(CONCATENATE($O123," BGN Curncy"),"BID_ASK_TIME"))</f>
        <v>4.445601851851852E-2</v>
      </c>
      <c r="J123" s="75">
        <v>44564</v>
      </c>
      <c r="K123" s="69"/>
      <c r="L123" s="55">
        <v>1</v>
      </c>
      <c r="M123" s="55">
        <v>3</v>
      </c>
      <c r="N123" s="55">
        <v>22</v>
      </c>
      <c r="O123" s="70" t="s">
        <v>64</v>
      </c>
    </row>
    <row r="124" spans="1:15" x14ac:dyDescent="0.3">
      <c r="B124" s="26" t="s">
        <v>134</v>
      </c>
      <c r="C124" s="27"/>
      <c r="D124" s="68">
        <f>_xll.BDP(CONCATENATE($B124," ", $L124,"/",$M124,"/",$N124," ", "CURNCY"),"PX BID")</f>
        <v>27.736571000000001</v>
      </c>
      <c r="E124" s="68">
        <f>_xll.BDP(CONCATENATE($B124," ", $L124,"/",$M124,"/",$N124," ", "CURNCY"),"PX ASK")</f>
        <v>27.876714</v>
      </c>
      <c r="F124" s="71">
        <f t="shared" ref="F124" si="8">(D124+E124)/2</f>
        <v>27.806642500000002</v>
      </c>
      <c r="G124" s="25"/>
      <c r="H124" s="25"/>
      <c r="I124" s="65">
        <f>TIMEVALUE(_xll.BDP(CONCATENATE($O124," BGN Curncy"),"BID_ASK_TIME"))</f>
        <v>0.66660879629629632</v>
      </c>
      <c r="J124" s="75">
        <v>44538</v>
      </c>
      <c r="K124" s="69"/>
      <c r="L124" s="55">
        <v>12</v>
      </c>
      <c r="M124" s="55">
        <v>8</v>
      </c>
      <c r="N124" s="55">
        <v>21</v>
      </c>
      <c r="O124" s="70" t="s">
        <v>39</v>
      </c>
    </row>
    <row r="125" spans="1:15" x14ac:dyDescent="0.3">
      <c r="B125" s="26" t="s">
        <v>134</v>
      </c>
      <c r="C125" s="27"/>
      <c r="D125" s="68">
        <f>_xll.BDP(CONCATENATE($B125," ", $L125,"/",$M125,"/",$N125," ", "CURNCY"),"PX BID")</f>
        <v>27.729429</v>
      </c>
      <c r="E125" s="68">
        <f>_xll.BDP(CONCATENATE($B125," ", $L125,"/",$M125,"/",$N125," ", "CURNCY"),"PX ASK")</f>
        <v>27.870286</v>
      </c>
      <c r="F125" s="71">
        <f t="shared" ref="F125" si="9">(D125+E125)/2</f>
        <v>27.799857500000002</v>
      </c>
      <c r="G125" s="25"/>
      <c r="H125" s="25"/>
      <c r="I125" s="65">
        <f>TIMEVALUE(_xll.BDP(CONCATENATE($O125," BGN Curncy"),"BID_ASK_TIME"))</f>
        <v>0.66660879629629632</v>
      </c>
      <c r="J125" s="75">
        <v>44543</v>
      </c>
      <c r="K125" s="69"/>
      <c r="L125" s="55">
        <v>12</v>
      </c>
      <c r="M125" s="55">
        <v>13</v>
      </c>
      <c r="N125" s="55">
        <v>21</v>
      </c>
      <c r="O125" s="70" t="s">
        <v>39</v>
      </c>
    </row>
    <row r="126" spans="1:15" x14ac:dyDescent="0.3">
      <c r="B126" s="26" t="s">
        <v>134</v>
      </c>
      <c r="C126" s="27"/>
      <c r="D126" s="68">
        <f>_xll.BDP(CONCATENATE($B126," ", $L126,"/",$M126,"/",$N126," ", "CURNCY"),"PX BID")</f>
        <v>27.788</v>
      </c>
      <c r="E126" s="68">
        <f>_xll.BDP(CONCATENATE($B126," ", $L126,"/",$M126,"/",$N126," ", "CURNCY"),"PX ASK")</f>
        <v>27.806000000000001</v>
      </c>
      <c r="F126" s="71">
        <f t="shared" ref="F126" si="10">(D126+E126)/2</f>
        <v>27.797000000000001</v>
      </c>
      <c r="G126" s="25"/>
      <c r="H126" s="25"/>
      <c r="I126" s="65">
        <f>TIMEVALUE(_xll.BDP(CONCATENATE($O126," BGN Curncy"),"BID_ASK_TIME"))</f>
        <v>0.66660879629629632</v>
      </c>
      <c r="J126" s="75">
        <v>44540</v>
      </c>
      <c r="K126" s="69"/>
      <c r="L126" s="55">
        <v>12</v>
      </c>
      <c r="M126" s="55">
        <v>10</v>
      </c>
      <c r="N126" s="55">
        <v>21</v>
      </c>
      <c r="O126" s="70" t="s">
        <v>138</v>
      </c>
    </row>
    <row r="127" spans="1:15" x14ac:dyDescent="0.3">
      <c r="B127" s="26" t="s">
        <v>136</v>
      </c>
      <c r="C127" s="27"/>
      <c r="D127" s="68">
        <f>_xll.BDP(CONCATENATE($B127," ", $L127,"/",$M127,"/",$N127," ", "CURNCY"),"PX BID")</f>
        <v>1181.6500000000001</v>
      </c>
      <c r="E127" s="68">
        <f>_xll.BDP(CONCATENATE($B127," ", $L127,"/",$M127,"/",$N127," ", "CURNCY"),"PX ASK")</f>
        <v>1184.83</v>
      </c>
      <c r="F127" s="71">
        <f t="shared" ref="F127" si="11">(D127+E127)/2</f>
        <v>1183.24</v>
      </c>
      <c r="G127" s="25"/>
      <c r="H127" s="25"/>
      <c r="I127" s="65">
        <f>TIMEVALUE(_xll.BDP(CONCATENATE($O127," BGN Curncy"),"BID_ASK_TIME"))</f>
        <v>0.60415509259259259</v>
      </c>
      <c r="J127" s="75">
        <v>44564</v>
      </c>
      <c r="K127" s="69"/>
      <c r="L127" s="55">
        <v>1</v>
      </c>
      <c r="M127" s="55">
        <v>3</v>
      </c>
      <c r="N127" s="55">
        <v>22</v>
      </c>
      <c r="O127" s="70" t="s">
        <v>32</v>
      </c>
    </row>
    <row r="128" spans="1:15" x14ac:dyDescent="0.3">
      <c r="B128" s="26" t="s">
        <v>134</v>
      </c>
      <c r="C128" s="27"/>
      <c r="D128" s="68">
        <f>_xll.BDP(CONCATENATE($B128," ", $L128,"/",$M128,"/",$N128," ", "CURNCY"),"PX BID")</f>
        <v>27.585999999999999</v>
      </c>
      <c r="E128" s="68">
        <f>_xll.BDP(CONCATENATE($B128," ", $L128,"/",$M128,"/",$N128," ", "CURNCY"),"PX ASK")</f>
        <v>27.603999999999999</v>
      </c>
      <c r="F128" s="71">
        <f t="shared" ref="F128" si="12">(D128+E128)/2</f>
        <v>27.594999999999999</v>
      </c>
      <c r="G128" s="25"/>
      <c r="H128" s="25"/>
      <c r="I128" s="65">
        <f>TIMEVALUE(_xll.BDP(CONCATENATE($O128," BGN Curncy"),"BID_ASK_TIME"))</f>
        <v>0.66660879629629632</v>
      </c>
      <c r="J128" s="75">
        <v>44564</v>
      </c>
      <c r="K128" s="69"/>
      <c r="L128" s="55">
        <v>1</v>
      </c>
      <c r="M128" s="55">
        <v>3</v>
      </c>
      <c r="N128" s="55">
        <v>22</v>
      </c>
      <c r="O128" s="70" t="s">
        <v>39</v>
      </c>
    </row>
    <row r="129" spans="2:15" x14ac:dyDescent="0.3">
      <c r="B129" s="26" t="s">
        <v>137</v>
      </c>
      <c r="C129" s="27"/>
      <c r="D129" s="68">
        <f>_xll.BDP(CONCATENATE($B129," ", $L129,"/",$M129,"/",$N129," ", "CURNCY"),"PX BID")</f>
        <v>14339.9</v>
      </c>
      <c r="E129" s="68">
        <f>_xll.BDP(CONCATENATE($B129," ", $L129,"/",$M129,"/",$N129," ", "CURNCY"),"PX ASK")</f>
        <v>14370.35</v>
      </c>
      <c r="F129" s="71">
        <f t="shared" ref="F129:F137" si="13">(D129+E129)/2</f>
        <v>14355.125</v>
      </c>
      <c r="G129" s="25"/>
      <c r="H129" s="25"/>
      <c r="I129" s="65">
        <f>TIMEVALUE(_xll.BDP(CONCATENATE($O129," BGN Curncy"),"BID_ASK_TIME"))</f>
        <v>0.66665509259259259</v>
      </c>
      <c r="J129" s="75">
        <v>44564</v>
      </c>
      <c r="K129" s="69"/>
      <c r="L129" s="55">
        <v>1</v>
      </c>
      <c r="M129" s="55">
        <v>3</v>
      </c>
      <c r="N129" s="55">
        <v>22</v>
      </c>
      <c r="O129" s="70" t="s">
        <v>31</v>
      </c>
    </row>
    <row r="130" spans="2:15" x14ac:dyDescent="0.3">
      <c r="B130" s="26" t="s">
        <v>135</v>
      </c>
      <c r="C130" s="27"/>
      <c r="D130" s="68">
        <f>_xll.BDP(CONCATENATE($B130," ", $L130,"/",$M130,"/",$N130," ", "CURNCY"),"PX BID")</f>
        <v>50.372999999999998</v>
      </c>
      <c r="E130" s="68">
        <f>_xll.BDP(CONCATENATE($B130," ", $L130,"/",$M130,"/",$N130," ", "CURNCY"),"PX ASK")</f>
        <v>50.49</v>
      </c>
      <c r="F130" s="71">
        <f t="shared" si="13"/>
        <v>50.4315</v>
      </c>
      <c r="G130" s="25"/>
      <c r="H130" s="25"/>
      <c r="I130" s="65">
        <f>TIMEVALUE(_xll.BDP(CONCATENATE($O130," BGN Curncy"),"BID_ASK_TIME"))</f>
        <v>0.66664351851851855</v>
      </c>
      <c r="J130" s="75">
        <v>44564</v>
      </c>
      <c r="K130" s="69"/>
      <c r="L130" s="55">
        <v>1</v>
      </c>
      <c r="M130" s="55">
        <v>3</v>
      </c>
      <c r="N130" s="55">
        <v>22</v>
      </c>
      <c r="O130" s="70" t="s">
        <v>35</v>
      </c>
    </row>
    <row r="131" spans="2:15" x14ac:dyDescent="0.3">
      <c r="B131" s="26" t="s">
        <v>134</v>
      </c>
      <c r="C131" s="27"/>
      <c r="D131" s="68">
        <f>_xll.BDP(CONCATENATE($B131," ", $L131,"/",$M131,"/",$N131," ", "CURNCY"),"PX BID")</f>
        <v>27.803000000000001</v>
      </c>
      <c r="E131" s="68">
        <f>_xll.BDP(CONCATENATE($B131," ", $L131,"/",$M131,"/",$N131," ", "CURNCY"),"PX ASK")</f>
        <v>27.815000000000001</v>
      </c>
      <c r="F131" s="71">
        <f t="shared" si="13"/>
        <v>27.809000000000001</v>
      </c>
      <c r="G131" s="25"/>
      <c r="H131" s="25"/>
      <c r="I131" s="65">
        <f>TIMEVALUE(_xll.BDP(CONCATENATE($O131," BGN Curncy"),"BID_ASK_TIME"))</f>
        <v>4.4282407407407409E-2</v>
      </c>
      <c r="J131" s="75">
        <v>44563</v>
      </c>
      <c r="K131" s="69"/>
      <c r="O131" s="70"/>
    </row>
    <row r="132" spans="2:15" x14ac:dyDescent="0.3">
      <c r="B132" s="26" t="s">
        <v>137</v>
      </c>
      <c r="C132" s="27"/>
      <c r="D132" s="68">
        <f>_xll.BDP(CONCATENATE($B132," ", $L132,"/",$M132,"/",$N132," ", "CURNCY"),"PX BID")</f>
        <v>14320.71</v>
      </c>
      <c r="E132" s="68">
        <f>_xll.BDP(CONCATENATE($B132," ", $L132,"/",$M132,"/",$N132," ", "CURNCY"),"PX ASK")</f>
        <v>14352.43</v>
      </c>
      <c r="F132" s="71">
        <f t="shared" si="13"/>
        <v>14336.57</v>
      </c>
      <c r="G132" s="25"/>
      <c r="H132" s="25"/>
      <c r="I132" s="65">
        <f>TIMEVALUE(_xll.BDP(CONCATENATE($O132," BGN Curncy"),"BID_ASK_TIME"))</f>
        <v>0.66665509259259259</v>
      </c>
      <c r="J132" s="75">
        <v>44543</v>
      </c>
      <c r="K132" s="69"/>
      <c r="L132" s="55">
        <v>12</v>
      </c>
      <c r="M132" s="55">
        <v>13</v>
      </c>
      <c r="N132" s="55">
        <v>21</v>
      </c>
      <c r="O132" s="70" t="s">
        <v>142</v>
      </c>
    </row>
    <row r="133" spans="2:15" x14ac:dyDescent="0.3">
      <c r="B133" s="26" t="s">
        <v>137</v>
      </c>
      <c r="C133" s="27"/>
      <c r="D133" s="68">
        <f>_xll.BDP(CONCATENATE($B133," ", $L133,"/",$M133,"/",$N133," ", "CURNCY"),"PX BID")</f>
        <v>14323.62</v>
      </c>
      <c r="E133" s="68">
        <f>_xll.BDP(CONCATENATE($B133," ", $L133,"/",$M133,"/",$N133," ", "CURNCY"),"PX ASK")</f>
        <v>14354.8</v>
      </c>
      <c r="F133" s="71">
        <f t="shared" si="13"/>
        <v>14339.21</v>
      </c>
      <c r="G133" s="25"/>
      <c r="H133" s="25"/>
      <c r="I133" s="65">
        <f>TIMEVALUE(_xll.BDP(CONCATENATE($O133," BGN Curncy"),"BID_ASK_TIME"))</f>
        <v>0.66665509259259259</v>
      </c>
      <c r="J133" s="75">
        <v>44545</v>
      </c>
      <c r="K133" s="69"/>
      <c r="L133" s="55">
        <v>12</v>
      </c>
      <c r="M133" s="55">
        <v>15</v>
      </c>
      <c r="N133" s="55">
        <v>21</v>
      </c>
      <c r="O133" s="70" t="s">
        <v>142</v>
      </c>
    </row>
    <row r="134" spans="2:15" x14ac:dyDescent="0.3">
      <c r="B134" s="26" t="s">
        <v>136</v>
      </c>
      <c r="C134" s="27"/>
      <c r="D134" s="68">
        <f>_xll.BDP(CONCATENATE($B134," ", $L134,"/",$M134,"/",$N134," ", "CURNCY"),"PX BID")</f>
        <v>1188.4100000000001</v>
      </c>
      <c r="E134" s="68">
        <f>_xll.BDP(CONCATENATE($B134," ", $L134,"/",$M134,"/",$N134," ", "CURNCY"),"PX ASK")</f>
        <v>1189.4000000000001</v>
      </c>
      <c r="F134" s="71">
        <f t="shared" si="13"/>
        <v>1188.9050000000002</v>
      </c>
      <c r="G134" s="25"/>
      <c r="H134" s="25"/>
      <c r="I134" s="65">
        <f>TIMEVALUE(_xll.BDP(CONCATENATE($O134," BGN Curncy"),"BID_ASK_TIME"))</f>
        <v>0.60415509259259259</v>
      </c>
      <c r="J134" s="75">
        <v>44543</v>
      </c>
      <c r="K134" s="69"/>
      <c r="L134" s="55">
        <v>12</v>
      </c>
      <c r="M134" s="55">
        <v>13</v>
      </c>
      <c r="N134" s="55">
        <v>21</v>
      </c>
      <c r="O134" s="70" t="s">
        <v>141</v>
      </c>
    </row>
    <row r="135" spans="2:15" x14ac:dyDescent="0.3">
      <c r="B135" s="26" t="s">
        <v>136</v>
      </c>
      <c r="C135" s="27"/>
      <c r="D135" s="68">
        <f>_xll.BDP(CONCATENATE($B135," ", $L135,"/",$M135,"/",$N135," ", "CURNCY"),"PX BID")</f>
        <v>1188.49</v>
      </c>
      <c r="E135" s="68">
        <f>_xll.BDP(CONCATENATE($B135," ", $L135,"/",$M135,"/",$N135," ", "CURNCY"),"PX ASK")</f>
        <v>1189.46</v>
      </c>
      <c r="F135" s="71">
        <f t="shared" si="13"/>
        <v>1188.9749999999999</v>
      </c>
      <c r="G135" s="25"/>
      <c r="H135" s="25"/>
      <c r="I135" s="65">
        <f>TIMEVALUE(_xll.BDP(CONCATENATE($O135," BGN Curncy"),"BID_ASK_TIME"))</f>
        <v>0.60415509259259259</v>
      </c>
      <c r="J135" s="75">
        <v>44545</v>
      </c>
      <c r="K135" s="69"/>
      <c r="L135" s="55">
        <v>12</v>
      </c>
      <c r="M135" s="55">
        <v>15</v>
      </c>
      <c r="N135" s="55">
        <v>21</v>
      </c>
      <c r="O135" s="70" t="s">
        <v>141</v>
      </c>
    </row>
    <row r="136" spans="2:15" x14ac:dyDescent="0.3">
      <c r="B136" s="26" t="s">
        <v>135</v>
      </c>
      <c r="C136" s="27"/>
      <c r="D136" s="68">
        <f>_xll.BDP(CONCATENATE($B136," ", $L136,"/",$M136,"/",$N136," ", "CURNCY"),"PX BID")</f>
        <v>50.363857000000003</v>
      </c>
      <c r="E136" s="68">
        <f>_xll.BDP(CONCATENATE($B136," ", $L136,"/",$M136,"/",$N136," ", "CURNCY"),"PX ASK")</f>
        <v>50.448428999999997</v>
      </c>
      <c r="F136" s="71">
        <f t="shared" si="13"/>
        <v>50.406143</v>
      </c>
      <c r="G136" s="25"/>
      <c r="H136" s="25"/>
      <c r="I136" s="65">
        <f>TIMEVALUE(_xll.BDP(CONCATENATE($O136," BGN Curncy"),"BID_ASK_TIME"))</f>
        <v>0.66664351851851855</v>
      </c>
      <c r="J136" s="75">
        <v>44543</v>
      </c>
      <c r="K136" s="69"/>
      <c r="L136" s="55">
        <v>12</v>
      </c>
      <c r="M136" s="55">
        <v>13</v>
      </c>
      <c r="N136" s="55">
        <v>21</v>
      </c>
      <c r="O136" s="70" t="s">
        <v>140</v>
      </c>
    </row>
    <row r="137" spans="2:15" x14ac:dyDescent="0.3">
      <c r="B137" s="26" t="s">
        <v>134</v>
      </c>
      <c r="C137" s="27"/>
      <c r="D137" s="68">
        <f>_xll.BDP(CONCATENATE($B137," ", $L137,"/",$M137,"/",$N137," ", "CURNCY"),"PX BID")</f>
        <v>27.783000000000001</v>
      </c>
      <c r="E137" s="68">
        <f>_xll.BDP(CONCATENATE($B137," ", $L137,"/",$M137,"/",$N137," ", "CURNCY"),"PX ASK")</f>
        <v>27.800999999999998</v>
      </c>
      <c r="F137" s="71">
        <f t="shared" si="13"/>
        <v>27.792000000000002</v>
      </c>
      <c r="G137" s="25"/>
      <c r="H137" s="25"/>
      <c r="I137" s="65">
        <f>TIMEVALUE(_xll.BDP(CONCATENATE($O137," BGN Curncy"),"BID_ASK_TIME"))</f>
        <v>0.66660879629629632</v>
      </c>
      <c r="J137" s="75">
        <v>44545</v>
      </c>
      <c r="K137" s="69"/>
      <c r="L137" s="55">
        <v>12</v>
      </c>
      <c r="M137" s="55">
        <v>15</v>
      </c>
      <c r="N137" s="55">
        <v>21</v>
      </c>
      <c r="O137" s="70" t="s">
        <v>139</v>
      </c>
    </row>
    <row r="138" spans="2:15" x14ac:dyDescent="0.3">
      <c r="B138" s="26" t="s">
        <v>134</v>
      </c>
      <c r="C138" s="27"/>
      <c r="D138" s="68">
        <f>_xll.BDP(CONCATENATE($B138," ", $L138,"/",$M138,"/",$N138," ", "CURNCY"),"PX BID")</f>
        <v>27.782</v>
      </c>
      <c r="E138" s="68">
        <f>_xll.BDP(CONCATENATE($B138," ", $L138,"/",$M138,"/",$N138," ", "CURNCY"),"PX ASK")</f>
        <v>27.8</v>
      </c>
      <c r="F138" s="71">
        <f t="shared" ref="F138:F139" si="14">(D138+E138)/2</f>
        <v>27.791</v>
      </c>
      <c r="G138" s="25"/>
      <c r="H138" s="25"/>
      <c r="I138" s="65">
        <f>TIMEVALUE(_xll.BDP(CONCATENATE($O138," BGN Curncy"),"BID_ASK_TIME"))</f>
        <v>0.66660879629629632</v>
      </c>
      <c r="J138" s="75">
        <v>44546</v>
      </c>
      <c r="K138" s="69"/>
      <c r="L138" s="55">
        <v>12</v>
      </c>
      <c r="M138" s="55">
        <v>16</v>
      </c>
      <c r="N138" s="55">
        <v>21</v>
      </c>
      <c r="O138" s="70" t="s">
        <v>139</v>
      </c>
    </row>
    <row r="139" spans="2:15" x14ac:dyDescent="0.3">
      <c r="B139" s="26" t="s">
        <v>137</v>
      </c>
      <c r="C139" s="27"/>
      <c r="D139" s="68">
        <f>_xll.BDP(CONCATENATE($B139," ", $L139,"/",$M139,"/",$N139," ", "CURNCY"),"PX BID")</f>
        <v>14325.08</v>
      </c>
      <c r="E139" s="68">
        <f>_xll.BDP(CONCATENATE($B139," ", $L139,"/",$M139,"/",$N139," ", "CURNCY"),"PX ASK")</f>
        <v>14355.99</v>
      </c>
      <c r="F139" s="71">
        <f t="shared" si="14"/>
        <v>14340.535</v>
      </c>
      <c r="G139" s="25"/>
      <c r="H139" s="25"/>
      <c r="I139" s="65">
        <f>TIMEVALUE(_xll.BDP(CONCATENATE($O139," BGN Curncy"),"BID_ASK_TIME"))</f>
        <v>0.66665509259259259</v>
      </c>
      <c r="J139" s="75">
        <v>44546</v>
      </c>
      <c r="K139" s="69"/>
      <c r="L139" s="55">
        <v>12</v>
      </c>
      <c r="M139" s="55">
        <v>16</v>
      </c>
      <c r="N139" s="55">
        <v>21</v>
      </c>
      <c r="O139" s="70" t="s">
        <v>142</v>
      </c>
    </row>
    <row r="140" spans="2:15" x14ac:dyDescent="0.3">
      <c r="B140" s="26" t="s">
        <v>136</v>
      </c>
      <c r="C140" s="27"/>
      <c r="D140" s="68">
        <f>_xll.BDP(CONCATENATE($B140," ", $L140,"/",$M140,"/",$N140," ", "CURNCY"),"PX BID")</f>
        <v>1188.53</v>
      </c>
      <c r="E140" s="68">
        <f>_xll.BDP(CONCATENATE($B140," ", $L140,"/",$M140,"/",$N140," ", "CURNCY"),"PX ASK")</f>
        <v>1189.49</v>
      </c>
      <c r="F140" s="71">
        <f t="shared" ref="F140:F141" si="15">(D140+E140)/2</f>
        <v>1189.01</v>
      </c>
      <c r="G140" s="25"/>
      <c r="H140" s="25"/>
      <c r="I140" s="65">
        <f>TIMEVALUE(_xll.BDP(CONCATENATE($O140," BGN Curncy"),"BID_ASK_TIME"))</f>
        <v>0.60415509259259259</v>
      </c>
      <c r="J140" s="75">
        <v>44546</v>
      </c>
      <c r="K140" s="69"/>
      <c r="L140" s="55">
        <v>12</v>
      </c>
      <c r="M140" s="55">
        <v>16</v>
      </c>
      <c r="N140" s="55">
        <v>21</v>
      </c>
      <c r="O140" s="70" t="s">
        <v>141</v>
      </c>
    </row>
    <row r="141" spans="2:15" x14ac:dyDescent="0.3">
      <c r="B141" s="26" t="s">
        <v>135</v>
      </c>
      <c r="C141" s="27"/>
      <c r="D141" s="68">
        <f>_xll.BDP(CONCATENATE($B141," ", $L141,"/",$M141,"/",$N141," ", "CURNCY"),"PX BID")</f>
        <v>50.372428999999997</v>
      </c>
      <c r="E141" s="68">
        <f>_xll.BDP(CONCATENATE($B141," ", $L141,"/",$M141,"/",$N141," ", "CURNCY"),"PX ASK")</f>
        <v>50.454714000000003</v>
      </c>
      <c r="F141" s="71">
        <f t="shared" si="15"/>
        <v>50.413571500000003</v>
      </c>
      <c r="G141" s="25"/>
      <c r="H141" s="25"/>
      <c r="I141" s="65">
        <f>TIMEVALUE(_xll.BDP(CONCATENATE($O141," BGN Curncy"),"BID_ASK_TIME"))</f>
        <v>0.66664351851851855</v>
      </c>
      <c r="J141" s="75">
        <v>44545</v>
      </c>
      <c r="K141" s="69"/>
      <c r="L141" s="55">
        <v>12</v>
      </c>
      <c r="M141" s="55">
        <v>15</v>
      </c>
      <c r="N141" s="55">
        <v>21</v>
      </c>
      <c r="O141" s="70" t="s">
        <v>140</v>
      </c>
    </row>
    <row r="142" spans="2:15" x14ac:dyDescent="0.3">
      <c r="B142" s="26" t="s">
        <v>137</v>
      </c>
      <c r="C142" s="27"/>
      <c r="D142" s="68">
        <f>_xll.BDP(CONCATENATE($B142," ", $L142,"/",$M142,"/",$N142," ", "CURNCY"),"PX BID")</f>
        <v>14330.9</v>
      </c>
      <c r="E142" s="68">
        <f>_xll.BDP(CONCATENATE($B142," ", $L142,"/",$M142,"/",$N142," ", "CURNCY"),"PX ASK")</f>
        <v>14360.73</v>
      </c>
      <c r="F142" s="71">
        <f t="shared" ref="F142" si="16">(D142+E142)/2</f>
        <v>14345.814999999999</v>
      </c>
      <c r="G142" s="25"/>
      <c r="H142" s="25"/>
      <c r="I142" s="65">
        <f>TIMEVALUE(_xll.BDP(CONCATENATE($O142," BGN Curncy"),"BID_ASK_TIME"))</f>
        <v>0.66665509259259259</v>
      </c>
      <c r="J142" s="75">
        <v>44550</v>
      </c>
      <c r="K142" s="69"/>
      <c r="L142" s="55">
        <v>12</v>
      </c>
      <c r="M142" s="55">
        <v>20</v>
      </c>
      <c r="N142" s="55">
        <v>21</v>
      </c>
      <c r="O142" s="70" t="s">
        <v>142</v>
      </c>
    </row>
    <row r="143" spans="2:15" x14ac:dyDescent="0.3">
      <c r="B143" s="26" t="s">
        <v>136</v>
      </c>
      <c r="C143" s="27"/>
      <c r="D143" s="68">
        <f>_xll.BDP(CONCATENATE($B143," ", $L143,"/",$M143,"/",$N143," ", "CURNCY"),"PX BID")</f>
        <v>1188.77</v>
      </c>
      <c r="E143" s="68">
        <f>_xll.BDP(CONCATENATE($B143," ", $L143,"/",$M143,"/",$N143," ", "CURNCY"),"PX ASK")</f>
        <v>1189.665</v>
      </c>
      <c r="F143" s="71">
        <f t="shared" ref="F143:F144" si="17">(D143+E143)/2</f>
        <v>1189.2175</v>
      </c>
      <c r="G143" s="25"/>
      <c r="H143" s="25"/>
      <c r="I143" s="65">
        <f>TIMEVALUE(_xll.BDP(CONCATENATE($O143," BGN Curncy"),"BID_ASK_TIME"))</f>
        <v>0.60415509259259259</v>
      </c>
      <c r="J143" s="75">
        <v>44552</v>
      </c>
      <c r="K143" s="69"/>
      <c r="L143" s="55">
        <v>12</v>
      </c>
      <c r="M143" s="55">
        <v>22</v>
      </c>
      <c r="N143" s="55">
        <v>21</v>
      </c>
      <c r="O143" s="70" t="s">
        <v>141</v>
      </c>
    </row>
    <row r="144" spans="2:15" x14ac:dyDescent="0.3">
      <c r="B144" s="26" t="s">
        <v>133</v>
      </c>
      <c r="C144" s="27"/>
      <c r="D144" s="68">
        <f>_xll.BDP(CONCATENATE($B144," ", $L144,"/",$M144,"/",$N144," ", "CURNCY"),"PX BID")</f>
        <v>1</v>
      </c>
      <c r="E144" s="68">
        <f>_xll.BDP(CONCATENATE($B144," ", $L144,"/",$M144,"/",$N144," ", "CURNCY"),"PX ASK")</f>
        <v>1</v>
      </c>
      <c r="F144" s="71">
        <f t="shared" si="17"/>
        <v>1</v>
      </c>
      <c r="G144" s="25"/>
      <c r="H144" s="25"/>
      <c r="I144" s="65">
        <f>TIMEVALUE(_xll.BDP(CONCATENATE($O144," BGN Curncy"),"BID_ASK_TIME"))</f>
        <v>4.445601851851852E-2</v>
      </c>
      <c r="J144" s="75">
        <v>44523</v>
      </c>
      <c r="K144" s="69"/>
      <c r="L144" s="55">
        <v>11</v>
      </c>
      <c r="M144" s="55">
        <v>23</v>
      </c>
      <c r="N144" s="55">
        <v>21</v>
      </c>
      <c r="O144" s="70" t="s">
        <v>143</v>
      </c>
    </row>
    <row r="145" spans="2:15" x14ac:dyDescent="0.3">
      <c r="B145" s="26"/>
      <c r="C145" s="27"/>
      <c r="D145" s="68"/>
      <c r="E145" s="68"/>
      <c r="F145" s="71"/>
      <c r="G145" s="25"/>
      <c r="H145" s="25"/>
      <c r="I145" s="65"/>
      <c r="J145" s="75"/>
      <c r="K145" s="69"/>
      <c r="O145" s="70"/>
    </row>
    <row r="146" spans="2:15" x14ac:dyDescent="0.3">
      <c r="B146" s="26" t="s">
        <v>95</v>
      </c>
      <c r="C146" s="27"/>
      <c r="D146" s="24"/>
      <c r="E146" s="24"/>
      <c r="F146" s="25"/>
      <c r="G146" s="25"/>
      <c r="H146" s="25"/>
      <c r="I146" s="65"/>
      <c r="J146" s="76"/>
      <c r="N146" s="55" t="s">
        <v>112</v>
      </c>
    </row>
    <row r="147" spans="2:15" x14ac:dyDescent="0.3">
      <c r="B147" s="26" t="s">
        <v>108</v>
      </c>
      <c r="C147" s="27"/>
      <c r="D147" s="24">
        <f>_xll.BDP($K147,"PX LAST")</f>
        <v>5.5946999999999996</v>
      </c>
      <c r="E147" s="24">
        <f>_xll.BDP($K147,"PX LAST")</f>
        <v>5.5946999999999996</v>
      </c>
      <c r="F147" s="24">
        <f>_xll.BDP($K147,"PX LAST")</f>
        <v>5.5946999999999996</v>
      </c>
      <c r="G147" s="25"/>
      <c r="H147" s="25"/>
      <c r="I147" s="24" t="str">
        <f>_xll.BDP($K147,"TIME")</f>
        <v>1:04:01 AM</v>
      </c>
      <c r="J147" s="77"/>
      <c r="K147" s="55" t="s">
        <v>109</v>
      </c>
      <c r="N147" s="55" t="s">
        <v>117</v>
      </c>
    </row>
    <row r="148" spans="2:15" x14ac:dyDescent="0.3">
      <c r="B148" s="26" t="s">
        <v>44</v>
      </c>
      <c r="C148" s="27"/>
      <c r="D148" s="24">
        <f>_xll.BDP($K148,"PX LAST")</f>
        <v>6.3902999999999999</v>
      </c>
      <c r="E148" s="24">
        <f>_xll.BDP($K148,"PX LAST")</f>
        <v>6.3902999999999999</v>
      </c>
      <c r="F148" s="24">
        <f>_xll.BDP($K148,"PX LAST")</f>
        <v>6.3902999999999999</v>
      </c>
      <c r="G148" s="25"/>
      <c r="H148" s="25"/>
      <c r="I148" s="24" t="str">
        <f>_xll.BDP($K148,"TIME")</f>
        <v>9:15:05 AM</v>
      </c>
      <c r="J148" s="77"/>
      <c r="K148" s="55" t="s">
        <v>100</v>
      </c>
      <c r="N148" s="55" t="s">
        <v>118</v>
      </c>
    </row>
    <row r="149" spans="2:15" x14ac:dyDescent="0.3">
      <c r="B149" s="26" t="s">
        <v>31</v>
      </c>
      <c r="C149" s="27"/>
      <c r="D149" s="34">
        <f>_xll.BDP($K149,"PX LAST")</f>
        <v>14272</v>
      </c>
      <c r="E149" s="34">
        <f>_xll.BDP($K149,"PX LAST")</f>
        <v>14272</v>
      </c>
      <c r="F149" s="34">
        <f>_xll.BDP($K149,"PX LAST")</f>
        <v>14272</v>
      </c>
      <c r="G149" s="25"/>
      <c r="H149" s="25"/>
      <c r="I149" s="24" t="str">
        <f>_xll.BDP($K149,"TIME")</f>
        <v>4:20:05 PM</v>
      </c>
      <c r="J149" s="77"/>
      <c r="K149" s="55" t="s">
        <v>101</v>
      </c>
      <c r="N149" s="55" t="s">
        <v>110</v>
      </c>
    </row>
    <row r="150" spans="2:15" x14ac:dyDescent="0.3">
      <c r="B150" s="26" t="s">
        <v>68</v>
      </c>
      <c r="C150" s="27"/>
      <c r="D150" s="24">
        <f>_xll.BDP($K150,"PX LAST")</f>
        <v>74.406300000000002</v>
      </c>
      <c r="E150" s="24">
        <f>_xll.BDP($K150,"PX LAST")</f>
        <v>74.406300000000002</v>
      </c>
      <c r="F150" s="24">
        <f>_xll.BDP($K150,"PX LAST")</f>
        <v>74.406300000000002</v>
      </c>
      <c r="G150" s="25"/>
      <c r="H150" s="25"/>
      <c r="I150" s="24" t="str">
        <f>_xll.BDP($K150,"TIME")</f>
        <v>4:03:43 PM</v>
      </c>
      <c r="J150" s="77"/>
      <c r="K150" s="55" t="s">
        <v>103</v>
      </c>
      <c r="N150" s="55" t="s">
        <v>113</v>
      </c>
    </row>
    <row r="151" spans="2:15" x14ac:dyDescent="0.3">
      <c r="B151" s="26" t="s">
        <v>32</v>
      </c>
      <c r="C151" s="27"/>
      <c r="D151" s="24">
        <f>_xll.BDP($K151,"PX LAST")</f>
        <v>1188.5</v>
      </c>
      <c r="E151" s="24">
        <f>_xll.BDP($K151,"PX LAST")</f>
        <v>1188.5</v>
      </c>
      <c r="F151" s="24">
        <f>_xll.BDP($K151,"PX LAST")</f>
        <v>1188.5</v>
      </c>
      <c r="G151" s="25"/>
      <c r="H151" s="25"/>
      <c r="I151" s="24" t="str">
        <f>_xll.BDP($K151,"TIME")</f>
        <v>2:40:08 PM</v>
      </c>
      <c r="J151" s="77"/>
      <c r="K151" s="55" t="s">
        <v>102</v>
      </c>
      <c r="N151" s="55" t="s">
        <v>111</v>
      </c>
    </row>
    <row r="152" spans="2:15" x14ac:dyDescent="0.3">
      <c r="B152" s="26" t="s">
        <v>33</v>
      </c>
      <c r="C152" s="27"/>
      <c r="D152" s="24">
        <f>_xll.BDP($K152,"PX LAST")</f>
        <v>4.2074999999999996</v>
      </c>
      <c r="E152" s="24">
        <f>_xll.BDP($K152,"PX LAST")</f>
        <v>4.2074999999999996</v>
      </c>
      <c r="F152" s="24">
        <f>_xll.BDP($K152,"PX LAST")</f>
        <v>4.2074999999999996</v>
      </c>
      <c r="G152" s="25"/>
      <c r="H152" s="25"/>
      <c r="I152" s="24" t="str">
        <f>_xll.BDP($K152,"TIME")</f>
        <v>3:30:25 PM</v>
      </c>
      <c r="J152" s="77"/>
      <c r="K152" s="55" t="s">
        <v>97</v>
      </c>
      <c r="N152" s="55" t="s">
        <v>110</v>
      </c>
    </row>
    <row r="153" spans="2:15" x14ac:dyDescent="0.3">
      <c r="B153" s="26" t="s">
        <v>35</v>
      </c>
      <c r="C153" s="27"/>
      <c r="D153" s="24">
        <f>_xll.BDP($K153,"PX LAST")</f>
        <v>50.582000000000001</v>
      </c>
      <c r="E153" s="24">
        <f>_xll.BDP($K153,"PX LAST")</f>
        <v>50.582000000000001</v>
      </c>
      <c r="F153" s="24">
        <f>_xll.BDP($K153,"PX LAST")</f>
        <v>50.582000000000001</v>
      </c>
      <c r="G153" s="25"/>
      <c r="H153" s="25"/>
      <c r="I153" s="24" t="str">
        <f>_xll.BDP($K153,"TIME")</f>
        <v>11:35:10 AM</v>
      </c>
      <c r="J153" s="77"/>
      <c r="K153" s="55" t="s">
        <v>99</v>
      </c>
      <c r="N153" s="55" t="s">
        <v>110</v>
      </c>
    </row>
    <row r="154" spans="2:15" x14ac:dyDescent="0.3">
      <c r="B154" s="26" t="s">
        <v>90</v>
      </c>
      <c r="C154" s="27"/>
      <c r="D154" s="24">
        <f>_xll.BDP($K154,"PX LAST")</f>
        <v>74.376800000000003</v>
      </c>
      <c r="E154" s="24">
        <f>_xll.BDP($K154,"PX LAST")</f>
        <v>74.376800000000003</v>
      </c>
      <c r="F154" s="24">
        <f>_xll.BDP($K154,"PX LAST")</f>
        <v>74.376800000000003</v>
      </c>
      <c r="G154" s="25"/>
      <c r="H154" s="25"/>
      <c r="I154" s="24" t="str">
        <f>_xll.BDP($K154,"TIME")</f>
        <v>5:30:00 PM</v>
      </c>
      <c r="J154" s="77"/>
      <c r="K154" s="55" t="s">
        <v>104</v>
      </c>
      <c r="N154" s="55" t="s">
        <v>114</v>
      </c>
      <c r="O154" s="55" t="s">
        <v>115</v>
      </c>
    </row>
    <row r="155" spans="2:15" x14ac:dyDescent="0.3">
      <c r="B155" s="26" t="s">
        <v>38</v>
      </c>
      <c r="C155" s="27"/>
      <c r="D155" s="24">
        <f>_xll.BDP($K155,"PX LAST")</f>
        <v>33.234000000000002</v>
      </c>
      <c r="E155" s="24">
        <f>_xll.BDP($K155,"PX LAST")</f>
        <v>33.234000000000002</v>
      </c>
      <c r="F155" s="24">
        <f>_xll.BDP($K155,"PX LAST")</f>
        <v>33.234000000000002</v>
      </c>
      <c r="G155" s="25"/>
      <c r="H155" s="25"/>
      <c r="I155" s="24" t="str">
        <f>_xll.BDP($K155,"TIME")</f>
        <v>11:30:00 AM</v>
      </c>
      <c r="J155" s="77"/>
      <c r="K155" s="55" t="s">
        <v>96</v>
      </c>
    </row>
    <row r="156" spans="2:15" x14ac:dyDescent="0.3">
      <c r="B156" s="26" t="s">
        <v>39</v>
      </c>
      <c r="C156" s="27"/>
      <c r="D156" s="24">
        <f>_xll.BDP($K156,"PX LAST")</f>
        <v>27.798000000000002</v>
      </c>
      <c r="E156" s="24">
        <f>_xll.BDP($K156,"PX LAST")</f>
        <v>27.798000000000002</v>
      </c>
      <c r="F156" s="24">
        <f>_xll.BDP($K156,"PX LAST")</f>
        <v>27.798000000000002</v>
      </c>
      <c r="G156" s="25"/>
      <c r="H156" s="25"/>
      <c r="I156" s="24" t="str">
        <f>_xll.BDP($K156,"TIME")</f>
        <v>11:00:02 AM</v>
      </c>
      <c r="J156" s="77"/>
      <c r="K156" s="55" t="s">
        <v>98</v>
      </c>
      <c r="N156" s="55" t="s">
        <v>116</v>
      </c>
    </row>
    <row r="157" spans="2:15" x14ac:dyDescent="0.3">
      <c r="B157" s="26"/>
      <c r="C157" s="27"/>
      <c r="D157" s="24"/>
      <c r="E157" s="24"/>
      <c r="F157" s="25"/>
      <c r="G157" s="25"/>
      <c r="H157" s="25"/>
      <c r="I157" s="65"/>
    </row>
    <row r="158" spans="2:15" x14ac:dyDescent="0.3">
      <c r="B158" s="26"/>
      <c r="C158" s="27"/>
      <c r="D158" s="53"/>
      <c r="E158" s="53"/>
      <c r="F158" s="25"/>
      <c r="G158" s="25"/>
      <c r="H158" s="25"/>
      <c r="I158" s="65"/>
    </row>
    <row r="159" spans="2:15" x14ac:dyDescent="0.3">
      <c r="B159" s="28"/>
      <c r="C159" s="29"/>
      <c r="D159" s="24"/>
      <c r="E159" s="24"/>
      <c r="F159" s="25"/>
      <c r="G159" s="25"/>
      <c r="H159" s="25"/>
      <c r="I159" s="65"/>
    </row>
    <row r="160" spans="2:15" x14ac:dyDescent="0.3">
      <c r="B160" s="26"/>
      <c r="C160" s="27"/>
      <c r="D160" s="24"/>
      <c r="E160" s="24"/>
      <c r="F160" s="25"/>
      <c r="G160" s="25"/>
      <c r="H160" s="25"/>
      <c r="I160" s="65"/>
    </row>
    <row r="161" spans="2:9" x14ac:dyDescent="0.3">
      <c r="B161" s="26"/>
      <c r="C161" s="27"/>
      <c r="D161" s="24"/>
      <c r="E161" s="24"/>
      <c r="F161" s="25"/>
      <c r="G161" s="25"/>
      <c r="H161" s="25"/>
      <c r="I161" s="65"/>
    </row>
    <row r="162" spans="2:9" x14ac:dyDescent="0.3">
      <c r="B162" s="26"/>
      <c r="C162" s="27"/>
      <c r="D162" s="24"/>
      <c r="E162" s="24"/>
      <c r="F162" s="25"/>
      <c r="G162" s="25"/>
      <c r="H162" s="25"/>
      <c r="I162" s="65"/>
    </row>
    <row r="163" spans="2:9" x14ac:dyDescent="0.3">
      <c r="B163" s="30"/>
      <c r="C163" s="31"/>
      <c r="D163" s="24"/>
      <c r="E163" s="24"/>
      <c r="F163" s="25"/>
      <c r="G163" s="25"/>
      <c r="H163" s="25"/>
      <c r="I163" s="65"/>
    </row>
    <row r="164" spans="2:9" x14ac:dyDescent="0.3">
      <c r="B164" s="26"/>
      <c r="C164" s="27"/>
      <c r="D164" s="24"/>
      <c r="E164" s="24"/>
      <c r="F164" s="25"/>
      <c r="G164" s="25"/>
      <c r="H164" s="25"/>
      <c r="I164" s="65"/>
    </row>
    <row r="165" spans="2:9" x14ac:dyDescent="0.3">
      <c r="B165" s="28"/>
      <c r="C165" s="29"/>
      <c r="D165" s="24"/>
      <c r="E165" s="24"/>
      <c r="F165" s="25"/>
      <c r="G165" s="25"/>
      <c r="H165" s="25"/>
      <c r="I165" s="65"/>
    </row>
    <row r="166" spans="2:9" x14ac:dyDescent="0.3">
      <c r="B166" s="26"/>
      <c r="C166" s="27"/>
      <c r="D166" s="24"/>
      <c r="E166" s="24"/>
      <c r="F166" s="25"/>
      <c r="G166" s="25"/>
      <c r="H166" s="25"/>
      <c r="I166" s="65"/>
    </row>
    <row r="167" spans="2:9" x14ac:dyDescent="0.3">
      <c r="B167" s="26"/>
      <c r="C167" s="27"/>
      <c r="D167" s="24"/>
      <c r="E167" s="24"/>
      <c r="F167" s="25"/>
      <c r="G167" s="25"/>
      <c r="H167" s="25"/>
      <c r="I167" s="65"/>
    </row>
    <row r="168" spans="2:9" x14ac:dyDescent="0.3">
      <c r="B168" s="28"/>
      <c r="C168" s="29"/>
      <c r="D168" s="24"/>
      <c r="E168" s="24"/>
      <c r="F168" s="25"/>
      <c r="G168" s="25"/>
      <c r="H168" s="25"/>
      <c r="I168" s="65"/>
    </row>
    <row r="169" spans="2:9" x14ac:dyDescent="0.3">
      <c r="B169" s="26"/>
      <c r="C169" s="27"/>
      <c r="D169" s="24"/>
      <c r="E169" s="24"/>
      <c r="F169" s="25"/>
      <c r="G169" s="25"/>
      <c r="H169" s="25"/>
      <c r="I169" s="65"/>
    </row>
    <row r="170" spans="2:9" x14ac:dyDescent="0.3">
      <c r="B170" s="28"/>
      <c r="C170" s="29"/>
      <c r="D170" s="24"/>
      <c r="E170" s="24"/>
      <c r="F170" s="25"/>
      <c r="G170" s="25"/>
      <c r="H170" s="25"/>
      <c r="I170" s="65"/>
    </row>
    <row r="171" spans="2:9" x14ac:dyDescent="0.3">
      <c r="B171" s="26"/>
      <c r="C171" s="27"/>
      <c r="D171" s="24"/>
      <c r="E171" s="24"/>
      <c r="F171" s="25"/>
      <c r="G171" s="25"/>
      <c r="H171" s="25"/>
      <c r="I171" s="65"/>
    </row>
    <row r="172" spans="2:9" x14ac:dyDescent="0.3">
      <c r="B172" s="28"/>
      <c r="C172" s="29"/>
      <c r="D172" s="24"/>
      <c r="E172" s="24"/>
      <c r="F172" s="25"/>
      <c r="G172" s="25"/>
      <c r="H172" s="25"/>
      <c r="I172" s="65"/>
    </row>
    <row r="173" spans="2:9" x14ac:dyDescent="0.3">
      <c r="B173" s="26"/>
      <c r="C173" s="27"/>
      <c r="D173" s="24"/>
      <c r="E173" s="24"/>
      <c r="F173" s="25"/>
      <c r="G173" s="25"/>
      <c r="H173" s="25"/>
      <c r="I173" s="65"/>
    </row>
    <row r="174" spans="2:9" x14ac:dyDescent="0.3">
      <c r="B174" s="26"/>
      <c r="C174" s="27"/>
      <c r="D174" s="24"/>
      <c r="E174" s="24"/>
      <c r="F174" s="25"/>
      <c r="G174" s="25"/>
      <c r="H174" s="25"/>
      <c r="I174" s="65"/>
    </row>
    <row r="175" spans="2:9" x14ac:dyDescent="0.3">
      <c r="B175" s="26"/>
      <c r="C175" s="27"/>
      <c r="D175" s="24"/>
      <c r="E175" s="24"/>
      <c r="F175" s="25"/>
      <c r="G175" s="25"/>
      <c r="H175" s="25"/>
      <c r="I175" s="65"/>
    </row>
    <row r="176" spans="2:9" x14ac:dyDescent="0.3">
      <c r="B176" s="28"/>
      <c r="C176" s="29"/>
      <c r="D176" s="24"/>
      <c r="E176" s="24"/>
      <c r="F176" s="25"/>
      <c r="G176" s="25"/>
      <c r="H176" s="25"/>
      <c r="I176" s="65"/>
    </row>
    <row r="177" spans="2:9" x14ac:dyDescent="0.3">
      <c r="B177" s="26"/>
      <c r="C177" s="27"/>
      <c r="D177" s="24"/>
      <c r="E177" s="24"/>
      <c r="F177" s="25"/>
      <c r="G177" s="25"/>
      <c r="H177" s="25"/>
      <c r="I177" s="65"/>
    </row>
    <row r="178" spans="2:9" x14ac:dyDescent="0.3">
      <c r="B178" s="28"/>
      <c r="C178" s="29"/>
      <c r="D178" s="24"/>
      <c r="E178" s="24"/>
      <c r="F178" s="25"/>
      <c r="G178" s="25"/>
      <c r="H178" s="25"/>
      <c r="I178" s="65"/>
    </row>
    <row r="179" spans="2:9" x14ac:dyDescent="0.3">
      <c r="B179" s="26"/>
      <c r="C179" s="27"/>
      <c r="D179" s="24"/>
      <c r="E179" s="24"/>
      <c r="F179" s="25"/>
      <c r="G179" s="25"/>
      <c r="H179" s="25"/>
      <c r="I179" s="65"/>
    </row>
    <row r="180" spans="2:9" x14ac:dyDescent="0.3">
      <c r="B180" s="26"/>
      <c r="C180" s="27"/>
      <c r="D180" s="24"/>
      <c r="E180" s="24"/>
      <c r="F180" s="25"/>
      <c r="G180" s="25"/>
      <c r="H180" s="25"/>
      <c r="I180" s="65"/>
    </row>
    <row r="181" spans="2:9" x14ac:dyDescent="0.3">
      <c r="B181" s="28"/>
      <c r="C181" s="29"/>
      <c r="D181" s="24"/>
      <c r="E181" s="24"/>
      <c r="F181" s="25"/>
      <c r="G181" s="25"/>
      <c r="H181" s="25"/>
      <c r="I181" s="65"/>
    </row>
    <row r="182" spans="2:9" x14ac:dyDescent="0.3">
      <c r="B182" s="26"/>
      <c r="C182" s="27"/>
      <c r="D182" s="32"/>
      <c r="E182" s="32"/>
      <c r="F182" s="33"/>
      <c r="G182" s="33"/>
      <c r="H182" s="33"/>
      <c r="I182" s="65"/>
    </row>
    <row r="183" spans="2:9" x14ac:dyDescent="0.3">
      <c r="B183" s="28"/>
      <c r="C183" s="29"/>
      <c r="D183" s="34"/>
      <c r="E183" s="34"/>
      <c r="F183" s="35"/>
      <c r="G183" s="35"/>
      <c r="H183" s="35"/>
      <c r="I183" s="65"/>
    </row>
    <row r="184" spans="2:9" x14ac:dyDescent="0.3">
      <c r="B184" s="26"/>
      <c r="C184" s="27"/>
      <c r="D184" s="24"/>
      <c r="E184" s="24"/>
      <c r="F184" s="25"/>
      <c r="G184" s="25"/>
      <c r="H184" s="25"/>
      <c r="I184" s="65"/>
    </row>
    <row r="185" spans="2:9" x14ac:dyDescent="0.3">
      <c r="B185" s="28"/>
      <c r="C185" s="29"/>
      <c r="D185" s="24"/>
      <c r="E185" s="24"/>
      <c r="F185" s="25"/>
      <c r="G185" s="25"/>
      <c r="H185" s="25"/>
      <c r="I185" s="65"/>
    </row>
    <row r="186" spans="2:9" x14ac:dyDescent="0.3">
      <c r="B186" s="26"/>
      <c r="C186" s="27"/>
      <c r="D186" s="34"/>
      <c r="E186" s="34"/>
      <c r="F186" s="35"/>
      <c r="G186" s="35"/>
      <c r="H186" s="35"/>
      <c r="I186" s="65"/>
    </row>
    <row r="187" spans="2:9" x14ac:dyDescent="0.3">
      <c r="B187" s="28"/>
      <c r="C187" s="29"/>
      <c r="D187" s="24"/>
      <c r="E187" s="24"/>
      <c r="F187" s="25"/>
      <c r="G187" s="25"/>
      <c r="H187" s="25"/>
      <c r="I187" s="65"/>
    </row>
    <row r="188" spans="2:9" x14ac:dyDescent="0.3">
      <c r="B188" s="26"/>
      <c r="C188" s="27"/>
      <c r="D188" s="24"/>
      <c r="E188" s="24"/>
      <c r="F188" s="25"/>
      <c r="G188" s="25"/>
      <c r="H188" s="25"/>
      <c r="I188" s="65"/>
    </row>
    <row r="189" spans="2:9" x14ac:dyDescent="0.3">
      <c r="B189" s="28"/>
      <c r="C189" s="29"/>
      <c r="D189" s="34"/>
      <c r="E189" s="34"/>
      <c r="F189" s="35"/>
      <c r="G189" s="35"/>
      <c r="H189" s="35"/>
      <c r="I189" s="65"/>
    </row>
    <row r="190" spans="2:9" x14ac:dyDescent="0.3">
      <c r="B190" s="26"/>
      <c r="C190" s="27"/>
      <c r="D190" s="24"/>
      <c r="E190" s="24"/>
      <c r="F190" s="25"/>
      <c r="G190" s="25"/>
      <c r="H190" s="25"/>
      <c r="I190" s="65"/>
    </row>
    <row r="191" spans="2:9" x14ac:dyDescent="0.3">
      <c r="B191" s="28"/>
      <c r="C191" s="29"/>
      <c r="D191" s="54"/>
      <c r="E191" s="54"/>
      <c r="F191" s="59"/>
      <c r="G191" s="25"/>
      <c r="H191" s="25"/>
      <c r="I191" s="65"/>
    </row>
    <row r="192" spans="2:9" x14ac:dyDescent="0.3">
      <c r="B192" s="26"/>
      <c r="C192" s="27"/>
      <c r="D192" s="24"/>
      <c r="E192" s="24"/>
      <c r="F192" s="25"/>
      <c r="G192" s="25"/>
      <c r="H192" s="25"/>
      <c r="I192" s="65"/>
    </row>
    <row r="193" spans="2:9" x14ac:dyDescent="0.3">
      <c r="B193" s="28"/>
      <c r="C193" s="29"/>
      <c r="D193" s="34"/>
      <c r="E193" s="34"/>
      <c r="F193" s="35"/>
      <c r="G193" s="35"/>
      <c r="H193" s="35"/>
      <c r="I193" s="65"/>
    </row>
    <row r="194" spans="2:9" x14ac:dyDescent="0.3">
      <c r="B194" s="26"/>
      <c r="C194" s="27"/>
      <c r="D194" s="34"/>
      <c r="E194" s="34"/>
      <c r="F194" s="35"/>
      <c r="G194" s="35"/>
      <c r="H194" s="35"/>
      <c r="I194" s="65"/>
    </row>
    <row r="195" spans="2:9" x14ac:dyDescent="0.3">
      <c r="B195" s="26"/>
      <c r="C195" s="27"/>
      <c r="D195" s="34"/>
      <c r="E195" s="34"/>
      <c r="F195" s="35"/>
      <c r="G195" s="35"/>
      <c r="H195" s="35"/>
      <c r="I195" s="65"/>
    </row>
    <row r="196" spans="2:9" x14ac:dyDescent="0.3">
      <c r="B196" s="28"/>
      <c r="C196" s="29"/>
      <c r="D196" s="34"/>
      <c r="E196" s="34"/>
      <c r="F196" s="35"/>
      <c r="G196" s="35"/>
      <c r="H196" s="35"/>
      <c r="I196" s="65"/>
    </row>
    <row r="197" spans="2:9" x14ac:dyDescent="0.3">
      <c r="B197" s="26"/>
      <c r="C197" s="27"/>
      <c r="D197" s="24"/>
      <c r="E197" s="24"/>
      <c r="F197" s="25"/>
      <c r="G197" s="25"/>
      <c r="H197" s="25"/>
      <c r="I197" s="65"/>
    </row>
    <row r="198" spans="2:9" x14ac:dyDescent="0.3">
      <c r="B198" s="28"/>
      <c r="C198" s="29"/>
      <c r="D198" s="24"/>
      <c r="E198" s="24"/>
      <c r="F198" s="25"/>
      <c r="G198" s="25"/>
      <c r="H198" s="25"/>
      <c r="I198" s="65"/>
    </row>
    <row r="199" spans="2:9" x14ac:dyDescent="0.3">
      <c r="B199" s="26"/>
      <c r="C199" s="27"/>
      <c r="D199" s="24"/>
      <c r="E199" s="24"/>
      <c r="F199" s="25"/>
      <c r="G199" s="25"/>
      <c r="H199" s="25"/>
      <c r="I199" s="65"/>
    </row>
    <row r="200" spans="2:9" x14ac:dyDescent="0.3">
      <c r="B200" s="26"/>
      <c r="C200" s="27"/>
      <c r="D200" s="24"/>
      <c r="E200" s="24"/>
      <c r="F200" s="25"/>
      <c r="G200" s="25"/>
      <c r="H200" s="25"/>
      <c r="I200" s="65"/>
    </row>
    <row r="201" spans="2:9" x14ac:dyDescent="0.3">
      <c r="B201" s="28"/>
      <c r="C201" s="29"/>
      <c r="D201" s="34"/>
      <c r="E201" s="34"/>
      <c r="F201" s="35"/>
      <c r="G201" s="35"/>
      <c r="H201" s="35"/>
      <c r="I201" s="65"/>
    </row>
    <row r="202" spans="2:9" x14ac:dyDescent="0.3">
      <c r="B202" s="26"/>
      <c r="C202" s="27"/>
      <c r="D202" s="34"/>
      <c r="E202" s="34"/>
      <c r="F202" s="35"/>
      <c r="G202" s="35"/>
      <c r="H202" s="35"/>
      <c r="I202" s="65"/>
    </row>
    <row r="203" spans="2:9" x14ac:dyDescent="0.3">
      <c r="B203" s="36"/>
      <c r="C203" s="36"/>
      <c r="D203" s="37"/>
      <c r="E203" s="37"/>
      <c r="F203" s="37"/>
      <c r="G203" s="37"/>
      <c r="H203" s="37"/>
      <c r="I203" s="1"/>
    </row>
    <row r="204" spans="2:9" x14ac:dyDescent="0.3">
      <c r="B204" s="2"/>
      <c r="C204" s="2"/>
      <c r="D204" s="2"/>
      <c r="E204" s="2"/>
      <c r="F204" s="2"/>
      <c r="G204" s="2"/>
      <c r="H204" s="2"/>
      <c r="I204" s="2"/>
    </row>
    <row r="205" spans="2:9" x14ac:dyDescent="0.3">
      <c r="B205" s="2"/>
      <c r="C205" s="2"/>
      <c r="D205" s="2"/>
      <c r="E205" s="2"/>
      <c r="F205" s="2"/>
      <c r="G205" s="2"/>
      <c r="H205" s="2"/>
      <c r="I205" s="2"/>
    </row>
    <row r="206" spans="2:9" x14ac:dyDescent="0.3">
      <c r="B206" s="2"/>
      <c r="C206" s="2"/>
      <c r="D206" s="2"/>
      <c r="E206" s="2"/>
      <c r="F206" s="2"/>
      <c r="G206" s="2"/>
      <c r="H206" s="2"/>
      <c r="I206" s="2"/>
    </row>
    <row r="207" spans="2:9" x14ac:dyDescent="0.3">
      <c r="B207" s="3"/>
      <c r="C207" s="3"/>
      <c r="D207" s="4"/>
      <c r="E207" s="5"/>
      <c r="F207" s="5"/>
      <c r="G207" s="5"/>
      <c r="H207" s="5"/>
      <c r="I207" s="3"/>
    </row>
    <row r="208" spans="2:9" x14ac:dyDescent="0.3">
      <c r="B208" s="6"/>
      <c r="C208" s="7"/>
      <c r="D208" s="7"/>
      <c r="E208" s="8"/>
      <c r="F208" s="8"/>
      <c r="G208" s="8"/>
      <c r="H208" s="8"/>
      <c r="I208" s="3"/>
    </row>
    <row r="209" spans="2:9" x14ac:dyDescent="0.3">
      <c r="B209" s="6"/>
      <c r="C209" s="7"/>
      <c r="D209" s="7"/>
      <c r="E209" s="8"/>
      <c r="F209" s="8"/>
      <c r="G209" s="8"/>
      <c r="H209" s="8"/>
      <c r="I209" s="3"/>
    </row>
    <row r="210" spans="2:9" x14ac:dyDescent="0.3">
      <c r="B210" s="6"/>
      <c r="C210" s="7"/>
      <c r="D210" s="7"/>
      <c r="E210" s="8"/>
      <c r="F210" s="8"/>
      <c r="G210" s="8"/>
      <c r="H210" s="8"/>
      <c r="I210" s="3"/>
    </row>
    <row r="211" spans="2:9" x14ac:dyDescent="0.3">
      <c r="B211" s="6"/>
      <c r="C211" s="7"/>
      <c r="D211" s="7"/>
      <c r="E211" s="8"/>
      <c r="F211" s="8"/>
      <c r="G211" s="8"/>
      <c r="H211" s="8"/>
      <c r="I211" s="3"/>
    </row>
    <row r="212" spans="2:9" ht="23.25" x14ac:dyDescent="0.35">
      <c r="B212" s="38"/>
      <c r="C212" s="38"/>
      <c r="D212" s="38"/>
      <c r="E212" s="39"/>
      <c r="F212" s="39"/>
      <c r="G212" s="39"/>
      <c r="H212" s="39"/>
      <c r="I212" s="40"/>
    </row>
    <row r="213" spans="2:9" ht="23.25" x14ac:dyDescent="0.35">
      <c r="B213" s="38"/>
      <c r="C213" s="38"/>
      <c r="D213" s="1"/>
      <c r="E213" s="41"/>
      <c r="F213" s="14">
        <f ca="1">F10</f>
        <v>44532.544469791668</v>
      </c>
      <c r="G213" s="42"/>
      <c r="H213" s="42"/>
      <c r="I213" s="40"/>
    </row>
    <row r="214" spans="2:9" ht="23.25" x14ac:dyDescent="0.35">
      <c r="B214" s="38"/>
      <c r="C214" s="43"/>
      <c r="D214" s="43"/>
      <c r="E214" s="39"/>
      <c r="F214" s="39"/>
      <c r="G214" s="39"/>
      <c r="H214" s="39"/>
      <c r="I214" s="40"/>
    </row>
    <row r="215" spans="2:9" ht="23.25" x14ac:dyDescent="0.35">
      <c r="B215" s="38"/>
      <c r="C215" s="38"/>
      <c r="D215" s="44"/>
      <c r="E215" s="39"/>
      <c r="F215" s="39"/>
      <c r="G215" s="39"/>
      <c r="H215" s="39"/>
      <c r="I215" s="40"/>
    </row>
    <row r="216" spans="2:9" ht="23.25" x14ac:dyDescent="0.35">
      <c r="B216" s="45"/>
      <c r="C216" s="45"/>
      <c r="D216" s="45"/>
      <c r="E216" s="46" t="s">
        <v>3</v>
      </c>
      <c r="F216" s="46"/>
      <c r="G216" s="46"/>
      <c r="H216" s="46"/>
      <c r="I216" s="45"/>
    </row>
    <row r="217" spans="2:9" ht="23.25" x14ac:dyDescent="0.35">
      <c r="B217" s="45"/>
      <c r="C217" s="45"/>
      <c r="D217" s="45"/>
      <c r="E217" s="47"/>
      <c r="F217" s="47"/>
      <c r="G217" s="47"/>
      <c r="H217" s="47"/>
      <c r="I217" s="45"/>
    </row>
    <row r="218" spans="2:9" ht="23.25" x14ac:dyDescent="0.35">
      <c r="B218" s="45"/>
      <c r="C218" s="45"/>
      <c r="D218" s="45"/>
      <c r="E218" s="45"/>
      <c r="F218" s="45"/>
      <c r="G218" s="45"/>
      <c r="H218" s="45"/>
      <c r="I218" s="45"/>
    </row>
    <row r="219" spans="2:9" x14ac:dyDescent="0.3">
      <c r="B219" s="18" t="s">
        <v>4</v>
      </c>
      <c r="C219" s="19"/>
      <c r="D219" s="21" t="s">
        <v>5</v>
      </c>
      <c r="E219" s="21" t="s">
        <v>6</v>
      </c>
      <c r="F219" s="21" t="s">
        <v>7</v>
      </c>
      <c r="G219" s="21"/>
      <c r="H219" s="21"/>
      <c r="I219" s="21" t="s">
        <v>8</v>
      </c>
    </row>
    <row r="220" spans="2:9" x14ac:dyDescent="0.3">
      <c r="B220" s="26"/>
      <c r="C220" s="31"/>
      <c r="D220" s="34"/>
      <c r="E220" s="34"/>
      <c r="F220" s="35"/>
      <c r="G220" s="25"/>
      <c r="H220" s="25"/>
      <c r="I220" s="65"/>
    </row>
    <row r="221" spans="2:9" x14ac:dyDescent="0.3">
      <c r="B221" s="26"/>
      <c r="C221" s="27"/>
      <c r="D221" s="34"/>
      <c r="E221" s="34"/>
      <c r="F221" s="35"/>
      <c r="G221" s="25"/>
      <c r="H221" s="25"/>
      <c r="I221" s="65"/>
    </row>
    <row r="222" spans="2:9" x14ac:dyDescent="0.3">
      <c r="B222" s="26"/>
      <c r="C222" s="27"/>
      <c r="D222" s="34"/>
      <c r="E222" s="34"/>
      <c r="F222" s="35"/>
      <c r="G222" s="25"/>
      <c r="H222" s="25"/>
      <c r="I222" s="65"/>
    </row>
    <row r="223" spans="2:9" x14ac:dyDescent="0.3">
      <c r="B223" s="26"/>
      <c r="C223" s="27"/>
      <c r="D223" s="34"/>
      <c r="E223" s="34"/>
      <c r="F223" s="35"/>
      <c r="G223" s="25"/>
      <c r="H223" s="25"/>
      <c r="I223" s="65"/>
    </row>
    <row r="224" spans="2:9" x14ac:dyDescent="0.3">
      <c r="B224" s="26"/>
      <c r="C224" s="27"/>
      <c r="D224" s="34"/>
      <c r="E224" s="34"/>
      <c r="F224" s="35"/>
      <c r="G224" s="25"/>
      <c r="H224" s="25"/>
      <c r="I224" s="65"/>
    </row>
    <row r="225" spans="2:9" x14ac:dyDescent="0.3">
      <c r="B225" s="26"/>
      <c r="C225" s="27"/>
      <c r="D225" s="34"/>
      <c r="E225" s="34"/>
      <c r="F225" s="35"/>
      <c r="G225" s="25"/>
      <c r="H225" s="25"/>
      <c r="I225" s="65"/>
    </row>
    <row r="226" spans="2:9" x14ac:dyDescent="0.3">
      <c r="B226" s="26"/>
      <c r="C226" s="27"/>
      <c r="D226" s="34"/>
      <c r="E226" s="34"/>
      <c r="F226" s="35"/>
      <c r="G226" s="25"/>
      <c r="H226" s="25"/>
      <c r="I226" s="65"/>
    </row>
    <row r="227" spans="2:9" x14ac:dyDescent="0.3">
      <c r="B227" s="26"/>
      <c r="C227" s="27"/>
      <c r="D227" s="57"/>
      <c r="E227" s="57"/>
      <c r="F227" s="58"/>
      <c r="G227" s="25"/>
      <c r="H227" s="25"/>
      <c r="I227" s="65"/>
    </row>
    <row r="228" spans="2:9" x14ac:dyDescent="0.3">
      <c r="B228" s="26"/>
      <c r="C228" s="27"/>
      <c r="D228" s="24"/>
      <c r="E228" s="24"/>
      <c r="F228" s="25"/>
      <c r="G228" s="25"/>
      <c r="H228" s="25"/>
      <c r="I228" s="65"/>
    </row>
    <row r="229" spans="2:9" x14ac:dyDescent="0.3">
      <c r="B229" s="26"/>
      <c r="C229" s="27"/>
      <c r="D229" s="24"/>
      <c r="E229" s="24"/>
      <c r="F229" s="25"/>
      <c r="G229" s="25"/>
      <c r="H229" s="25"/>
      <c r="I229" s="65"/>
    </row>
    <row r="230" spans="2:9" x14ac:dyDescent="0.3">
      <c r="B230" s="26"/>
      <c r="C230" s="27"/>
      <c r="D230" s="24"/>
      <c r="E230" s="24"/>
      <c r="F230" s="25"/>
      <c r="G230" s="25"/>
      <c r="H230" s="25"/>
      <c r="I230" s="65"/>
    </row>
    <row r="231" spans="2:9" x14ac:dyDescent="0.3">
      <c r="B231" s="26"/>
      <c r="C231" s="27"/>
      <c r="D231" s="24"/>
      <c r="E231" s="24"/>
      <c r="F231" s="25"/>
      <c r="G231" s="25"/>
      <c r="H231" s="25"/>
      <c r="I231" s="65"/>
    </row>
    <row r="232" spans="2:9" x14ac:dyDescent="0.3">
      <c r="B232" s="26"/>
      <c r="C232" s="27"/>
      <c r="D232" s="24"/>
      <c r="E232" s="24"/>
      <c r="F232" s="25"/>
      <c r="G232" s="25"/>
      <c r="H232" s="25"/>
      <c r="I232" s="65"/>
    </row>
    <row r="233" spans="2:9" x14ac:dyDescent="0.3">
      <c r="B233" s="26"/>
      <c r="C233" s="27"/>
      <c r="D233" s="24"/>
      <c r="E233" s="24"/>
      <c r="F233" s="25"/>
      <c r="G233" s="25"/>
      <c r="H233" s="25"/>
      <c r="I233" s="65"/>
    </row>
    <row r="234" spans="2:9" x14ac:dyDescent="0.3">
      <c r="B234" s="26"/>
      <c r="C234" s="27"/>
      <c r="D234" s="24"/>
      <c r="E234" s="24"/>
      <c r="F234" s="25"/>
      <c r="G234" s="25"/>
      <c r="H234" s="25"/>
      <c r="I234" s="65"/>
    </row>
    <row r="235" spans="2:9" x14ac:dyDescent="0.3">
      <c r="B235" s="26"/>
      <c r="C235" s="27"/>
      <c r="D235" s="24"/>
      <c r="E235" s="24"/>
      <c r="F235" s="25"/>
      <c r="G235" s="25"/>
      <c r="H235" s="25"/>
      <c r="I235" s="65"/>
    </row>
    <row r="236" spans="2:9" x14ac:dyDescent="0.3">
      <c r="B236" s="26"/>
      <c r="C236" s="27"/>
      <c r="D236" s="24"/>
      <c r="E236" s="24"/>
      <c r="F236" s="25"/>
      <c r="G236" s="25"/>
      <c r="H236" s="25"/>
      <c r="I236" s="65"/>
    </row>
    <row r="237" spans="2:9" x14ac:dyDescent="0.3">
      <c r="B237" s="26"/>
      <c r="C237" s="27"/>
      <c r="D237" s="24"/>
      <c r="E237" s="24"/>
      <c r="F237" s="25"/>
      <c r="G237" s="25"/>
      <c r="H237" s="25"/>
      <c r="I237" s="65"/>
    </row>
    <row r="238" spans="2:9" x14ac:dyDescent="0.3">
      <c r="B238" s="26"/>
      <c r="C238" s="27"/>
      <c r="D238" s="24"/>
      <c r="E238" s="24"/>
      <c r="F238" s="25"/>
      <c r="G238" s="25"/>
      <c r="H238" s="25"/>
      <c r="I238" s="65"/>
    </row>
    <row r="239" spans="2:9" x14ac:dyDescent="0.3">
      <c r="B239" s="26"/>
      <c r="C239" s="27"/>
      <c r="D239" s="24"/>
      <c r="E239" s="24"/>
      <c r="F239" s="25"/>
      <c r="G239" s="25"/>
      <c r="H239" s="25"/>
      <c r="I239" s="65"/>
    </row>
    <row r="240" spans="2:9" x14ac:dyDescent="0.3">
      <c r="B240" s="26"/>
      <c r="C240" s="27"/>
      <c r="D240" s="24"/>
      <c r="E240" s="24"/>
      <c r="F240" s="25"/>
      <c r="G240" s="25"/>
      <c r="H240" s="25"/>
      <c r="I240" s="65"/>
    </row>
    <row r="241" spans="2:9" x14ac:dyDescent="0.3">
      <c r="B241" s="26"/>
      <c r="C241" s="27"/>
      <c r="D241" s="24"/>
      <c r="E241" s="24"/>
      <c r="F241" s="25"/>
      <c r="G241" s="25"/>
      <c r="H241" s="25"/>
      <c r="I241" s="65"/>
    </row>
    <row r="242" spans="2:9" x14ac:dyDescent="0.3">
      <c r="B242" s="26"/>
      <c r="C242" s="27"/>
      <c r="D242" s="24"/>
      <c r="E242" s="24"/>
      <c r="F242" s="25"/>
      <c r="G242" s="25"/>
      <c r="H242" s="25"/>
      <c r="I242" s="65"/>
    </row>
    <row r="243" spans="2:9" x14ac:dyDescent="0.3">
      <c r="B243" s="26"/>
      <c r="C243" s="27"/>
      <c r="D243" s="24"/>
      <c r="E243" s="24"/>
      <c r="F243" s="25"/>
      <c r="G243" s="25"/>
      <c r="H243" s="25"/>
      <c r="I243" s="65"/>
    </row>
    <row r="244" spans="2:9" x14ac:dyDescent="0.3">
      <c r="B244" s="26"/>
      <c r="C244" s="27"/>
      <c r="D244" s="24"/>
      <c r="E244" s="24"/>
      <c r="F244" s="25"/>
      <c r="G244" s="25"/>
      <c r="H244" s="25"/>
      <c r="I244" s="65"/>
    </row>
  </sheetData>
  <autoFilter ref="B14:I112"/>
  <sortState ref="B116:O125">
    <sortCondition ref="B116"/>
  </sortState>
  <pageMargins left="0.7" right="0.7" top="0.75" bottom="0.75" header="0.3" footer="0.3"/>
  <pageSetup scale="70" orientation="portrait" r:id="rId1"/>
  <rowBreaks count="1" manualBreakCount="1">
    <brk id="202" min="1" max="8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Main</vt:lpstr>
      <vt:lpstr>23110</vt:lpstr>
      <vt:lpstr>SETTLEMENT</vt:lpstr>
      <vt:lpstr>SETTLEMENT!Print_Area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Larry Lai</cp:lastModifiedBy>
  <cp:lastPrinted>2016-08-03T05:44:46Z</cp:lastPrinted>
  <dcterms:created xsi:type="dcterms:W3CDTF">2016-03-02T05:45:44Z</dcterms:created>
  <dcterms:modified xsi:type="dcterms:W3CDTF">2021-12-02T17:04:02Z</dcterms:modified>
</cp:coreProperties>
</file>